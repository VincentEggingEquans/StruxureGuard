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5.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equans-my.sharepoint.com/personal/MX5268_equans_com/Documents/Documents/Building Automation/Python Zooi/StruxureGuard/StruxureGuard/"/>
    </mc:Choice>
  </mc:AlternateContent>
  <xr:revisionPtr revIDLastSave="3" documentId="8_{BADFDFA8-4D25-45DF-9D50-C5CE442E033F}" xr6:coauthVersionLast="47" xr6:coauthVersionMax="47" xr10:uidLastSave="{ECE3AF18-4EEB-46A0-A6DC-1204494002F6}"/>
  <bookViews>
    <workbookView xWindow="3120" yWindow="3120" windowWidth="21600" windowHeight="11145" firstSheet="1" activeTab="4" xr2:uid="{72E9AD93-6141-4358-B03E-C024C83DC54B}"/>
  </bookViews>
  <sheets>
    <sheet name="Inputblad" sheetId="8" state="hidden" r:id="rId1"/>
    <sheet name="TOELICHTING" sheetId="13" r:id="rId2"/>
    <sheet name="Gegevens" sheetId="5" r:id="rId3"/>
    <sheet name="Checklist Klantvragen" sheetId="14" r:id="rId4"/>
    <sheet name="Checklist Regelkast" sheetId="6" r:id="rId5"/>
    <sheet name="Checklist FM-kast" sheetId="15" state="hidden" r:id="rId6"/>
    <sheet name="Onderhoudsrapportage" sheetId="12" state="hidden" r:id="rId7"/>
    <sheet name="Notities en afbeeldingen" sheetId="10" state="hidden" r:id="rId8"/>
  </sheets>
  <definedNames>
    <definedName name="_Hlk52777108" localSheetId="6">Onderhoudsrapportage!$A$46</definedName>
    <definedName name="_Toc137100756" localSheetId="5">'Checklist FM-kast'!$A$19</definedName>
    <definedName name="_Toc137100756" localSheetId="4">'Checklist Regelkast'!$A$19</definedName>
    <definedName name="_xlnm.Print_Area" localSheetId="5">'Checklist FM-kast'!$A$1:$B$72</definedName>
    <definedName name="_xlnm.Print_Area" localSheetId="4">'Checklist Regelkast'!$A$1:$B$72</definedName>
    <definedName name="_xlnm.Print_Area" localSheetId="6">Onderhoudsrapportage!$A$1:$I$121</definedName>
    <definedName name="Status_per_onderhoudscategorie" localSheetId="6">Onderhoudsrapportage!$A$72</definedName>
    <definedName name="Status_per_onderhoudscategori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2" l="1"/>
  <c r="B69" i="15"/>
  <c r="B69" i="6"/>
  <c r="B67" i="15"/>
  <c r="B66" i="15"/>
  <c r="B65" i="15"/>
  <c r="B64" i="15"/>
  <c r="B63" i="15"/>
  <c r="B62" i="15"/>
  <c r="B61" i="15"/>
  <c r="B60" i="15"/>
  <c r="B59" i="15"/>
  <c r="B58" i="15"/>
  <c r="B57" i="15"/>
  <c r="B46" i="15" s="1"/>
  <c r="B56" i="15"/>
  <c r="B55" i="15"/>
  <c r="B54" i="15"/>
  <c r="B53" i="15"/>
  <c r="B52" i="15"/>
  <c r="B51" i="15"/>
  <c r="B50" i="15"/>
  <c r="B49" i="15"/>
  <c r="B48" i="15"/>
  <c r="B47" i="15"/>
  <c r="B44" i="15"/>
  <c r="B43" i="15"/>
  <c r="B34" i="15" s="1"/>
  <c r="B42" i="15"/>
  <c r="B41" i="15"/>
  <c r="B40" i="15"/>
  <c r="B39" i="15"/>
  <c r="B38" i="15"/>
  <c r="B37" i="15"/>
  <c r="B36" i="15"/>
  <c r="B35" i="15"/>
  <c r="B32" i="15"/>
  <c r="B31" i="15"/>
  <c r="B30" i="15"/>
  <c r="B29" i="15"/>
  <c r="B28" i="15" s="1"/>
  <c r="B26" i="15"/>
  <c r="B25" i="15"/>
  <c r="B24" i="15"/>
  <c r="B23" i="15"/>
  <c r="B22" i="15"/>
  <c r="B21" i="15"/>
  <c r="B20" i="15"/>
  <c r="B19" i="15"/>
  <c r="B12" i="15"/>
  <c r="B11" i="15"/>
  <c r="B12" i="6"/>
  <c r="B11" i="6"/>
  <c r="B58" i="6"/>
  <c r="B56" i="6"/>
  <c r="B55" i="6"/>
  <c r="B54" i="6"/>
  <c r="B53" i="6"/>
  <c r="B52" i="6"/>
  <c r="B51" i="6"/>
  <c r="B48" i="6"/>
  <c r="B47" i="6"/>
  <c r="B42" i="6"/>
  <c r="B43" i="6"/>
  <c r="B44" i="6"/>
  <c r="B35" i="6"/>
  <c r="B32" i="6"/>
  <c r="B30" i="6"/>
  <c r="B29" i="6"/>
  <c r="B28" i="6" s="1"/>
  <c r="B26" i="6"/>
  <c r="B25" i="6"/>
  <c r="B22" i="6"/>
  <c r="B21" i="6"/>
  <c r="B20" i="6"/>
  <c r="B40" i="6"/>
  <c r="B19" i="6" l="1"/>
  <c r="A49" i="12"/>
  <c r="A47" i="12"/>
  <c r="A46" i="12"/>
  <c r="B24" i="6"/>
  <c r="B23" i="6"/>
  <c r="B31" i="6"/>
  <c r="A44" i="12"/>
  <c r="B67" i="6"/>
  <c r="B66" i="6"/>
  <c r="B65" i="6"/>
  <c r="B64" i="6"/>
  <c r="B63" i="6"/>
  <c r="B62" i="6"/>
  <c r="I62" i="6" s="1" a="1"/>
  <c r="I62" i="6" s="1"/>
  <c r="B61" i="6"/>
  <c r="B60" i="6"/>
  <c r="B59" i="6"/>
  <c r="B57" i="6"/>
  <c r="B50" i="6"/>
  <c r="I50" i="6" s="1" a="1"/>
  <c r="I50" i="6" s="1"/>
  <c r="B49" i="6"/>
  <c r="B46" i="6" s="1"/>
  <c r="I48" i="6" a="1"/>
  <c r="I48" i="6" s="1"/>
  <c r="I47" i="6" a="1"/>
  <c r="I47" i="6" s="1"/>
  <c r="I44" i="6" a="1"/>
  <c r="I44" i="6" s="1"/>
  <c r="I43" i="6" a="1"/>
  <c r="I43" i="6" s="1"/>
  <c r="I42" i="6" a="1"/>
  <c r="I42" i="6" s="1"/>
  <c r="B41" i="6"/>
  <c r="B39" i="6"/>
  <c r="B38" i="6"/>
  <c r="I38" i="6" s="1" a="1"/>
  <c r="I38" i="6" s="1"/>
  <c r="B37" i="6"/>
  <c r="B36" i="6"/>
  <c r="I41" i="6" a="1"/>
  <c r="I41" i="6" s="1"/>
  <c r="I40" i="6" a="1"/>
  <c r="I40" i="6" s="1"/>
  <c r="I39" i="6" a="1"/>
  <c r="I39" i="6" s="1"/>
  <c r="B34" i="6"/>
  <c r="C28" i="6"/>
  <c r="C69" i="15"/>
  <c r="C69" i="6"/>
  <c r="K7" i="14" a="1"/>
  <c r="K7" i="14"/>
  <c r="K8" i="14" a="1"/>
  <c r="K8" i="14"/>
  <c r="K9" i="14" a="1"/>
  <c r="K9" i="14"/>
  <c r="K10" i="14" a="1"/>
  <c r="K10" i="14" s="1"/>
  <c r="K11" i="14" a="1"/>
  <c r="K11" i="14"/>
  <c r="K12" i="14" a="1"/>
  <c r="K12" i="14" s="1"/>
  <c r="K13" i="14" a="1"/>
  <c r="K13" i="14"/>
  <c r="K14" i="14" a="1"/>
  <c r="K14" i="14"/>
  <c r="K15" i="14" a="1"/>
  <c r="K15" i="14"/>
  <c r="B72" i="15"/>
  <c r="I72" i="15" s="1" a="1"/>
  <c r="I72" i="15" s="1"/>
  <c r="B71" i="15"/>
  <c r="I71" i="15" s="1" a="1"/>
  <c r="I71" i="15" s="1"/>
  <c r="B70" i="15"/>
  <c r="I70" i="15" s="1" a="1"/>
  <c r="I70" i="15" s="1"/>
  <c r="F69" i="15"/>
  <c r="H69" i="6"/>
  <c r="F69" i="6"/>
  <c r="G69" i="6"/>
  <c r="E69" i="6"/>
  <c r="B71" i="6"/>
  <c r="B72" i="6"/>
  <c r="B70" i="6"/>
  <c r="I70" i="6" s="1" a="1"/>
  <c r="I70" i="6" s="1"/>
  <c r="I72" i="6" a="1"/>
  <c r="I72" i="6" s="1"/>
  <c r="I71" i="6" a="1"/>
  <c r="I71" i="6" s="1"/>
  <c r="C25" i="8" a="1"/>
  <c r="C25" i="8"/>
  <c r="B25" i="8" a="1"/>
  <c r="B25" i="8" s="1"/>
  <c r="G12" i="8"/>
  <c r="G16" i="8"/>
  <c r="G14" i="8" a="1"/>
  <c r="G14" i="8" s="1"/>
  <c r="F14" i="8" a="1"/>
  <c r="F14" i="8" s="1"/>
  <c r="E25" i="8" a="1"/>
  <c r="E25" i="8"/>
  <c r="F25" i="8" a="1"/>
  <c r="F25" i="8" s="1"/>
  <c r="C19" i="15" l="1"/>
  <c r="C28" i="15"/>
  <c r="C46" i="15"/>
  <c r="C19" i="6"/>
  <c r="H69" i="15"/>
  <c r="G69" i="15"/>
  <c r="E69" i="15"/>
  <c r="A1" i="15"/>
  <c r="I67" i="15" a="1"/>
  <c r="I67" i="15" s="1"/>
  <c r="I66" i="15" a="1"/>
  <c r="I66" i="15" s="1"/>
  <c r="I65" i="15" a="1"/>
  <c r="I65" i="15" s="1"/>
  <c r="I64" i="15" a="1"/>
  <c r="I64" i="15" s="1"/>
  <c r="I63" i="15" a="1"/>
  <c r="I63" i="15" s="1"/>
  <c r="I62" i="15" a="1"/>
  <c r="I62" i="15" s="1"/>
  <c r="I61" i="15" a="1"/>
  <c r="I61" i="15" s="1"/>
  <c r="I60" i="15" a="1"/>
  <c r="I60" i="15" s="1"/>
  <c r="I59" i="15" a="1"/>
  <c r="I59" i="15" s="1"/>
  <c r="I58" i="15" a="1"/>
  <c r="I58" i="15" s="1"/>
  <c r="I57" i="15" a="1"/>
  <c r="I57" i="15" s="1"/>
  <c r="I56" i="15" a="1"/>
  <c r="I56" i="15" s="1"/>
  <c r="I55" i="15" a="1"/>
  <c r="I55" i="15" s="1"/>
  <c r="I54" i="15" a="1"/>
  <c r="I54" i="15" s="1"/>
  <c r="I53" i="15" a="1"/>
  <c r="I53" i="15" s="1"/>
  <c r="I52" i="15" a="1"/>
  <c r="I52" i="15" s="1"/>
  <c r="I51" i="15" a="1"/>
  <c r="I51" i="15" s="1"/>
  <c r="I50" i="15" a="1"/>
  <c r="I50" i="15" s="1"/>
  <c r="I49" i="15" a="1"/>
  <c r="I49" i="15" s="1"/>
  <c r="I48" i="15" a="1"/>
  <c r="I48" i="15" s="1"/>
  <c r="I47" i="15" a="1"/>
  <c r="I47" i="15" s="1"/>
  <c r="I44" i="15" a="1"/>
  <c r="I44" i="15" s="1"/>
  <c r="I43" i="15" a="1"/>
  <c r="I43" i="15" s="1"/>
  <c r="I42" i="15" a="1"/>
  <c r="I42" i="15" s="1"/>
  <c r="I41" i="15" a="1"/>
  <c r="I41" i="15" s="1"/>
  <c r="I40" i="15" a="1"/>
  <c r="I40" i="15" s="1"/>
  <c r="I39" i="15" a="1"/>
  <c r="I39" i="15" s="1"/>
  <c r="I38" i="15" a="1"/>
  <c r="I38" i="15" s="1"/>
  <c r="I37" i="15" a="1"/>
  <c r="I37" i="15" s="1"/>
  <c r="I36" i="15" a="1"/>
  <c r="I36" i="15" s="1"/>
  <c r="I35" i="15" a="1"/>
  <c r="I35" i="15" s="1"/>
  <c r="I32" i="15" a="1"/>
  <c r="I32" i="15" s="1"/>
  <c r="I31" i="15" a="1"/>
  <c r="I31" i="15" s="1"/>
  <c r="I30" i="15" a="1"/>
  <c r="I30" i="15" s="1"/>
  <c r="I29" i="15" a="1"/>
  <c r="I29" i="15" s="1"/>
  <c r="I26" i="15" a="1"/>
  <c r="I26" i="15" s="1"/>
  <c r="I25" i="15" a="1"/>
  <c r="I25" i="15" s="1"/>
  <c r="I24" i="15" a="1"/>
  <c r="I24" i="15" s="1"/>
  <c r="I23" i="15" a="1"/>
  <c r="I23" i="15" s="1"/>
  <c r="I22" i="15" a="1"/>
  <c r="I22" i="15" s="1"/>
  <c r="I21" i="15" a="1"/>
  <c r="I21" i="15" s="1"/>
  <c r="I20" i="15" a="1"/>
  <c r="I20" i="15" s="1"/>
  <c r="I53" i="6" a="1"/>
  <c r="I53" i="6" s="1"/>
  <c r="I52" i="6" a="1"/>
  <c r="I52" i="6" s="1"/>
  <c r="C46" i="6"/>
  <c r="G19" i="8"/>
  <c r="G18" i="8"/>
  <c r="G17" i="8"/>
  <c r="L77" i="12"/>
  <c r="H19" i="15" l="1"/>
  <c r="G28" i="15"/>
  <c r="C1" i="15"/>
  <c r="B1" i="15" s="1"/>
  <c r="C1" i="6"/>
  <c r="E28" i="15"/>
  <c r="G19" i="15"/>
  <c r="F28" i="15"/>
  <c r="E19" i="15"/>
  <c r="F19" i="15"/>
  <c r="H28" i="15"/>
  <c r="E46" i="15"/>
  <c r="F46" i="15"/>
  <c r="G46" i="15"/>
  <c r="H46" i="15"/>
  <c r="I30" i="6" a="1"/>
  <c r="I30" i="6" s="1"/>
  <c r="B1" i="6" l="1"/>
  <c r="G81" i="12" s="1"/>
  <c r="F34" i="15"/>
  <c r="C34" i="15"/>
  <c r="G34" i="15"/>
  <c r="E34" i="15"/>
  <c r="H34" i="15"/>
  <c r="I59" i="6" a="1"/>
  <c r="I59" i="6" s="1"/>
  <c r="I54" i="6" a="1"/>
  <c r="I54" i="6" s="1"/>
  <c r="I55" i="6" a="1"/>
  <c r="I55" i="6" s="1"/>
  <c r="I56" i="6" a="1"/>
  <c r="I56" i="6" s="1"/>
  <c r="G84" i="12" l="1"/>
  <c r="H1" i="15"/>
  <c r="F1" i="15"/>
  <c r="G1" i="15"/>
  <c r="E1" i="15"/>
  <c r="F31" i="8"/>
  <c r="F27" i="8"/>
  <c r="A11" i="12"/>
  <c r="A81" i="12"/>
  <c r="J81" i="12" s="1"/>
  <c r="M77" i="12"/>
  <c r="A10" i="12"/>
  <c r="J80" i="12" l="1"/>
  <c r="B4" i="8" a="1"/>
  <c r="B4" i="8" s="1"/>
  <c r="K77" i="12"/>
  <c r="I67" i="6" l="1" a="1"/>
  <c r="I67" i="6" s="1"/>
  <c r="I66" i="6" a="1"/>
  <c r="I66" i="6" s="1"/>
  <c r="I65" i="6" a="1"/>
  <c r="I65" i="6" s="1"/>
  <c r="I64" i="6" a="1"/>
  <c r="I64" i="6" s="1"/>
  <c r="I63" i="6" a="1"/>
  <c r="I63" i="6" s="1"/>
  <c r="I61" i="6" a="1"/>
  <c r="I61" i="6" s="1"/>
  <c r="I60" i="6" a="1"/>
  <c r="I60" i="6" s="1"/>
  <c r="I58" i="6" a="1"/>
  <c r="I58" i="6" s="1"/>
  <c r="I57" i="6" a="1"/>
  <c r="I57" i="6" s="1"/>
  <c r="I51" i="6" a="1"/>
  <c r="I51" i="6" s="1"/>
  <c r="I49" i="6" a="1"/>
  <c r="I49" i="6" s="1"/>
  <c r="I32" i="6" a="1"/>
  <c r="I32" i="6" s="1"/>
  <c r="I29" i="6" a="1"/>
  <c r="I29" i="6" s="1"/>
  <c r="I26" i="6" a="1"/>
  <c r="I26" i="6" s="1"/>
  <c r="I25" i="6" a="1"/>
  <c r="I25" i="6" s="1"/>
  <c r="I24" i="6" a="1"/>
  <c r="I24" i="6" s="1"/>
  <c r="I23" i="6" a="1"/>
  <c r="I23" i="6" s="1"/>
  <c r="I22" i="6" a="1"/>
  <c r="I22" i="6" s="1"/>
  <c r="I21" i="6" a="1"/>
  <c r="I21" i="6" s="1"/>
  <c r="I20" i="6" a="1"/>
  <c r="I20" i="6" s="1"/>
  <c r="L114" i="12"/>
  <c r="L115" i="12"/>
  <c r="L113" i="12"/>
  <c r="L110" i="12"/>
  <c r="L111" i="12"/>
  <c r="L108" i="12"/>
  <c r="L107" i="12"/>
  <c r="L103" i="12"/>
  <c r="L106" i="12"/>
  <c r="L105" i="12"/>
  <c r="L101" i="12"/>
  <c r="L118" i="12"/>
  <c r="L117" i="12"/>
  <c r="L116" i="12"/>
  <c r="L112" i="12"/>
  <c r="L100" i="12"/>
  <c r="L64" i="12"/>
  <c r="G4" i="8" a="1"/>
  <c r="G4" i="8" s="1"/>
  <c r="D4" i="8" a="1"/>
  <c r="D4" i="8" s="1"/>
  <c r="I54" i="12" s="1"/>
  <c r="F4" i="8" a="1"/>
  <c r="F4" i="8" s="1"/>
  <c r="E4" i="8" a="1"/>
  <c r="E4" i="8" s="1"/>
  <c r="C4" i="8" a="1"/>
  <c r="C4" i="8" s="1"/>
  <c r="J1" i="12"/>
  <c r="A78" i="12"/>
  <c r="D6" i="14"/>
  <c r="K6" i="14" s="1" a="1"/>
  <c r="K6" i="14" s="1"/>
  <c r="I62" i="12"/>
  <c r="D15" i="14"/>
  <c r="D14" i="14"/>
  <c r="D13" i="14"/>
  <c r="D12" i="14"/>
  <c r="D11" i="14"/>
  <c r="D10" i="14"/>
  <c r="D9" i="14"/>
  <c r="D8" i="14"/>
  <c r="D7" i="14"/>
  <c r="D5" i="14"/>
  <c r="K5" i="14" s="1" a="1"/>
  <c r="K5" i="14" s="1"/>
  <c r="D4" i="14"/>
  <c r="K4" i="14" s="1" a="1"/>
  <c r="K4" i="14" s="1"/>
  <c r="I31" i="6" a="1"/>
  <c r="I31" i="6" s="1"/>
  <c r="B36" i="8" a="1"/>
  <c r="B36" i="8" s="1"/>
  <c r="E36" i="8" a="1"/>
  <c r="E36" i="8" s="1"/>
  <c r="D36" i="8" a="1"/>
  <c r="D36" i="8" s="1"/>
  <c r="B14" i="8" a="1"/>
  <c r="B14" i="8" s="1"/>
  <c r="D25" i="8" a="1"/>
  <c r="D25" i="8" s="1"/>
  <c r="E14" i="8" a="1"/>
  <c r="E14" i="8" s="1"/>
  <c r="D14" i="8" a="1"/>
  <c r="D14" i="8" s="1"/>
  <c r="C14" i="8" a="1"/>
  <c r="C14" i="8" s="1"/>
  <c r="D3" i="14"/>
  <c r="I61" i="12"/>
  <c r="I56" i="12"/>
  <c r="I55" i="12"/>
  <c r="A55" i="12"/>
  <c r="A54" i="12"/>
  <c r="L49" i="12"/>
  <c r="A12" i="12"/>
  <c r="D1" i="14" l="1"/>
  <c r="G78" i="12" s="1"/>
  <c r="K3" i="14" a="1"/>
  <c r="K3" i="14" s="1"/>
  <c r="E46" i="6"/>
  <c r="F16" i="8"/>
  <c r="F18" i="8"/>
  <c r="A1" i="6"/>
  <c r="I37" i="6" a="1"/>
  <c r="I37" i="6" s="1"/>
  <c r="I36" i="6" a="1"/>
  <c r="I36" i="6" s="1"/>
  <c r="I35" i="6" a="1"/>
  <c r="I35" i="6" s="1"/>
  <c r="I78" i="12" l="1"/>
  <c r="K76" i="12"/>
  <c r="J1" i="14"/>
  <c r="H78" i="12" s="1"/>
  <c r="L79" i="12" s="1"/>
  <c r="H1" i="14"/>
  <c r="J79" i="12"/>
  <c r="G46" i="6"/>
  <c r="H46" i="6"/>
  <c r="F46" i="6"/>
  <c r="F30" i="8"/>
  <c r="F29" i="8"/>
  <c r="F28" i="8"/>
  <c r="F19" i="8"/>
  <c r="F17" i="8"/>
  <c r="D28" i="8"/>
  <c r="K79" i="12" l="1"/>
  <c r="K81" i="12"/>
  <c r="K80" i="12" s="1"/>
  <c r="C34" i="6"/>
  <c r="M79" i="12"/>
  <c r="H28" i="6"/>
  <c r="F28" i="6"/>
  <c r="H19" i="6"/>
  <c r="G19" i="6"/>
  <c r="E19" i="6"/>
  <c r="F19" i="6"/>
  <c r="G34" i="6"/>
  <c r="E34" i="6"/>
  <c r="F34" i="6"/>
  <c r="H34" i="6"/>
  <c r="D27" i="8"/>
  <c r="C28" i="8"/>
  <c r="C27" i="8"/>
  <c r="D9" i="8"/>
  <c r="D8" i="8"/>
  <c r="D7" i="8"/>
  <c r="D6" i="8"/>
  <c r="B19" i="5"/>
  <c r="F12" i="8"/>
  <c r="E19" i="8"/>
  <c r="C36" i="8" a="1"/>
  <c r="C36" i="8" s="1"/>
  <c r="E12" i="8"/>
  <c r="C12" i="8"/>
  <c r="D12" i="8"/>
  <c r="L47" i="12" l="1"/>
  <c r="L46" i="12"/>
  <c r="A51" i="12"/>
  <c r="L51" i="12" s="1"/>
  <c r="E34" i="8" l="1"/>
  <c r="D34" i="8"/>
  <c r="C34" i="8"/>
  <c r="B34" i="8"/>
  <c r="F23" i="8"/>
  <c r="E23" i="8"/>
  <c r="B12" i="8"/>
  <c r="C23" i="8"/>
  <c r="B23" i="8"/>
  <c r="D2" i="8"/>
  <c r="E2" i="8"/>
  <c r="C2" i="8"/>
  <c r="G28" i="6" l="1"/>
  <c r="E28" i="6"/>
  <c r="I57" i="12" l="1"/>
  <c r="G75" i="12" s="1"/>
  <c r="I81" i="12" l="1"/>
  <c r="K78" i="12"/>
  <c r="G1" i="6"/>
  <c r="E1" i="6"/>
  <c r="F1" i="6"/>
  <c r="H1" i="6"/>
  <c r="H81" i="12" s="1"/>
  <c r="L81" i="12" l="1"/>
  <c r="L80" i="12" s="1"/>
  <c r="I60" i="12" l="1"/>
  <c r="I75" i="12" s="1"/>
  <c r="M81" i="12"/>
  <c r="M80" i="12" s="1"/>
  <c r="I58" i="12"/>
  <c r="I59" i="12" l="1"/>
  <c r="H75"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<sst xmlns="http://schemas.openxmlformats.org/spreadsheetml/2006/main" count="674" uniqueCount="241">
  <si>
    <t>Onderhoudsrapport</t>
  </si>
  <si>
    <t>Regeltechnische installatie</t>
  </si>
  <si>
    <t>Samenvatting onderhoudsstatus</t>
  </si>
  <si>
    <t>Onderhoud uitgevoerd door:</t>
  </si>
  <si>
    <t>Aantal geconstateerde afwijkingen tijdens huidige onderhoudsronde:</t>
  </si>
  <si>
    <t>Direct opgelost tijdens huidige onderhoudsronde:</t>
  </si>
  <si>
    <t>Rapportage opgesteld door:</t>
  </si>
  <si>
    <t>Datum rapportage:</t>
  </si>
  <si>
    <t>Met vriendelijke groet,</t>
  </si>
  <si>
    <t xml:space="preserve">Bert Bransen                                          </t>
  </si>
  <si>
    <t>Contractjaar</t>
  </si>
  <si>
    <t>Percentage gereed voor contractjaar:</t>
  </si>
  <si>
    <t xml:space="preserve">Contractmanager Services
EQUANS Building Automation </t>
  </si>
  <si>
    <t>Contractmanager Services</t>
  </si>
  <si>
    <t>Rapportage opgesteld door</t>
  </si>
  <si>
    <t>Onderhoud uitgevoerd door</t>
  </si>
  <si>
    <t xml:space="preserve">Adres: </t>
  </si>
  <si>
    <t>Warmtebeeldcontrole van het regelpaneel</t>
  </si>
  <si>
    <t>Basis</t>
  </si>
  <si>
    <t>Standaard</t>
  </si>
  <si>
    <t>Totaal</t>
  </si>
  <si>
    <t>Uitgevoerd</t>
  </si>
  <si>
    <t>Afwijking</t>
  </si>
  <si>
    <t>Voor aanvang LMRA EQUANS uitvoeren.</t>
  </si>
  <si>
    <t xml:space="preserve">Telefoonnummer contactpersoon: </t>
  </si>
  <si>
    <t>Email contactpersoon:</t>
  </si>
  <si>
    <t>Contactpersoon contract:</t>
  </si>
  <si>
    <t>Contractniveau</t>
  </si>
  <si>
    <t>Klantnaam:</t>
  </si>
  <si>
    <t>Locatie:</t>
  </si>
  <si>
    <t>KLANT- EN CONTRACTINFORMATIE</t>
  </si>
  <si>
    <t>INFORMATIE ONDERHOUDSBEURT</t>
  </si>
  <si>
    <t>INFORMATIE EQUANS SERVICES</t>
  </si>
  <si>
    <t>INFORMATIE REGELINSTALLATIE</t>
  </si>
  <si>
    <t>nee</t>
  </si>
  <si>
    <t>ja</t>
  </si>
  <si>
    <t>Warmte wordt opgewekt middels</t>
  </si>
  <si>
    <t>Koude wordt opgewekt middels</t>
  </si>
  <si>
    <t>Naregelingen op het GBS aangesloten</t>
  </si>
  <si>
    <t>Hoofd gasmeter uitgelezen op GBS</t>
  </si>
  <si>
    <t>Hoofd elektrameter uitgelezen op GBS</t>
  </si>
  <si>
    <t>ketel(s)</t>
  </si>
  <si>
    <t>warmtepomp(en)</t>
  </si>
  <si>
    <t>bron(nen)</t>
  </si>
  <si>
    <t>koelmachine(s)</t>
  </si>
  <si>
    <t>Aantal ruimtebedieningen aanwezig</t>
  </si>
  <si>
    <t>Aantal naregelingen aanwezig</t>
  </si>
  <si>
    <t>SQL</t>
  </si>
  <si>
    <t>Postgres</t>
  </si>
  <si>
    <t>WKO (bron en WP)</t>
  </si>
  <si>
    <t xml:space="preserve">Contactpersoon technische dienst, indien van toepassing: </t>
  </si>
  <si>
    <t>Merk regelinstallatie</t>
  </si>
  <si>
    <t>Type regelinstallatie</t>
  </si>
  <si>
    <t>Schneider Electric</t>
  </si>
  <si>
    <t>Priva</t>
  </si>
  <si>
    <t>Aantal centrale regelpanelen aanwezig</t>
  </si>
  <si>
    <t>Aantal floormanagerpanelen aanwezig</t>
  </si>
  <si>
    <t>Versie GBS software, indien van toepassing</t>
  </si>
  <si>
    <t>Type naregelingen</t>
  </si>
  <si>
    <t>Onderhoudstaken</t>
  </si>
  <si>
    <t>Geselecteerd</t>
  </si>
  <si>
    <t>Contract</t>
  </si>
  <si>
    <t>Regelinstallatie</t>
  </si>
  <si>
    <t>Klimaatinstallaties</t>
  </si>
  <si>
    <t>Keuzelijst</t>
  </si>
  <si>
    <t>Integriteit automatische back-up</t>
  </si>
  <si>
    <t>Systeemdatum en -tijd correct</t>
  </si>
  <si>
    <t>Gecontroleerd</t>
  </si>
  <si>
    <t>Afwijking(en) geconstateerd</t>
  </si>
  <si>
    <t>Regelkastnaam</t>
  </si>
  <si>
    <t>Installatiejaar DDC apparatuur</t>
  </si>
  <si>
    <t>Aantal IO-modulen</t>
  </si>
  <si>
    <t>Bouwjaar paneel en schakelmateriaal</t>
  </si>
  <si>
    <t>Type controllers</t>
  </si>
  <si>
    <t>Interventieschakelaars op automatisch ingesteld</t>
  </si>
  <si>
    <t>Regeltechnische omschrijving aanwezig en up-to-date, datum en versie</t>
  </si>
  <si>
    <t>Regelkastschema aanwezig en up-to-date, datum en versie</t>
  </si>
  <si>
    <t>Benodigde licenties aanwezig</t>
  </si>
  <si>
    <t>DDC HARDWARE</t>
  </si>
  <si>
    <t>Type regelaar(s)</t>
  </si>
  <si>
    <t>Trendstorage geheugen</t>
  </si>
  <si>
    <t>Visuele NEN inspectie van bedrading, relais etc. in het regelpaneel</t>
  </si>
  <si>
    <t>Kastventilatie werkt naar behoren en is stofvrij</t>
  </si>
  <si>
    <t>Bedienbeeldscherm regelkast werkt naar behoren</t>
  </si>
  <si>
    <t>geen server aanwezig</t>
  </si>
  <si>
    <t>geen database aanwezig</t>
  </si>
  <si>
    <t>geen naregelingen aanwezig</t>
  </si>
  <si>
    <t>geen werkstation aanwezig</t>
  </si>
  <si>
    <t>1 werkstation aanwezig</t>
  </si>
  <si>
    <t>2 werkstations aanwezig</t>
  </si>
  <si>
    <t>3 werkstations aanwezig</t>
  </si>
  <si>
    <t>4 werkstations aanwezig</t>
  </si>
  <si>
    <t>Bedienbeeldscherm aanwezig</t>
  </si>
  <si>
    <t>Locatie regelkast</t>
  </si>
  <si>
    <t>Merk en type beeldscherm</t>
  </si>
  <si>
    <t>Bouwjaar beeldscherm</t>
  </si>
  <si>
    <t>HARDWARE REGELPANEEL</t>
  </si>
  <si>
    <t>middels SDbox</t>
  </si>
  <si>
    <t>middels GSM modem</t>
  </si>
  <si>
    <t>geen</t>
  </si>
  <si>
    <t>middels BACnet IP</t>
  </si>
  <si>
    <t>middels Modbus IP</t>
  </si>
  <si>
    <t>middels BACnet MS/tp</t>
  </si>
  <si>
    <t>middels Modbus RTU</t>
  </si>
  <si>
    <t>Rapportagetaken</t>
  </si>
  <si>
    <t>, voorzien van advies met verbetervoorstellen</t>
  </si>
  <si>
    <t>nvt</t>
  </si>
  <si>
    <t>en direct hersteld</t>
  </si>
  <si>
    <t>INFORMATIE KLIMAATINSTALLATIES EN ENERGIE</t>
  </si>
  <si>
    <t>Aantal aanwezige luchtbehandelingskasten</t>
  </si>
  <si>
    <t>Bediening en beheer</t>
  </si>
  <si>
    <t>Kastventilatie aanwezig</t>
  </si>
  <si>
    <t>Meting voedingsspanning regelaar(s)</t>
  </si>
  <si>
    <t>Tekstlabels regelaar(s) en IO-modulen aanwezig</t>
  </si>
  <si>
    <t>Systeemload CPU/geheugen controleren</t>
  </si>
  <si>
    <t>Werking UPS en standtijd controleren, indien aanwezig</t>
  </si>
  <si>
    <t>INVULLEN</t>
  </si>
  <si>
    <t>Gereedheid onderhoud</t>
  </si>
  <si>
    <t>Overzicht onderhoudsstatus</t>
  </si>
  <si>
    <t>Regelpanelen</t>
  </si>
  <si>
    <t>#</t>
  </si>
  <si>
    <t>Servicecoördinator</t>
  </si>
  <si>
    <t>Invullen tabblad "Gegevens"</t>
  </si>
  <si>
    <t>Locatie</t>
  </si>
  <si>
    <t>Functie</t>
  </si>
  <si>
    <t>Stap</t>
  </si>
  <si>
    <t>Invullen "Checklist Regelkast" A-Z</t>
  </si>
  <si>
    <t>Servicemonteur</t>
  </si>
  <si>
    <t>Klantlocatie</t>
  </si>
  <si>
    <t>Kantoor</t>
  </si>
  <si>
    <t>Controle op aangeleverde checklists</t>
  </si>
  <si>
    <t>Voor Servicecoördinator en Servicemonteur:</t>
  </si>
  <si>
    <t>Heb je feedback op de inhoud van de checklists? Bel of mail dan naar Walter Koenders.</t>
  </si>
  <si>
    <t>Specifiek voor Servicemonteur:</t>
  </si>
  <si>
    <t>Om een rapportage te genereren, dienen eerst de volgende stappen doolopen te zijn:</t>
  </si>
  <si>
    <t>LET OP:</t>
  </si>
  <si>
    <t>Voer eerst de bovengenoemde stappen uit voordat een rapportage wordt gegenereerd. 
De rapportage dient vervolgens door de Servicecoördinator gecontroleerd en waar nodig aangevuld te worden, alvorens deze naar de klant wordt gestuurd!</t>
  </si>
  <si>
    <t>Van toepassing op:</t>
  </si>
  <si>
    <t>Afhankelijk van het niveau van onderhoud (level 1-3) en de gegevens welke door de Servicecoördinator zijn ingevuld in tabblad "Gegevens", zullen bepaalde onderdelen van de checklists als "nvt" gemarkeerd zijn. Deze onderdelen zijn niet van toepassing voor het onderhoudscontract bij deze klant en kunnen op de checklist dus overgeslagen worden.</t>
  </si>
  <si>
    <t>Alle onderdelen welke op het tabblad "Gegevens" en in de diverse checklijsten zijn voorzien van een pulldown-menu, de tekst "INVULLEN", of een GRIJS gekleurde cel, dienen ingevuld te worden om het aangeboden onderhoud volledig uit te voeren.
Pas wanneer alle bovenstaande stappen zijn doorlopen, kan hieronder een Onderhouds-rapportage of een Kwartaalrapportage worden gegenereerd door de Servicecoördinator.</t>
  </si>
  <si>
    <t>Specifieke klantvraag onderhoud:</t>
  </si>
  <si>
    <t>Uitvoeren?</t>
  </si>
  <si>
    <t>Wanneer de rapportage gereed is, sla je deze tool op en gebruik je hem met eventuele wijzigingen voor de volgende onderhoudsronde.</t>
  </si>
  <si>
    <t>Deze tool is gemaakt om het uitvoeren van onderhoud en de rapportages daaromtrent te standaardiseren. Door een aantal stappen op kantoor en in het veld te doorlopen kan een rapportage worden gegenereerd, waarmee we aantoonbaar maken dat het aangeboden onderhoud naar behoren is uitgevoerd. Dat is van belang voor EQUANS om haar werkzaamheden aantoonbaar te maken en van belang voor de klant omdat de wet- en regelgeving steeds vaker vraagt om aan te tonen dat de klant onderhoud heeft laten uitvoeren.</t>
  </si>
  <si>
    <t xml:space="preserve">Heeft een klant op voorhand specifieke vragen, omschrijf dan een aparte check in tabblad "Klantvragen" en geef aan of dit dient te worden meegenomen in de onderhoudsronde. 
De rapportage kan gegenereerd worden wanneer deze tool ingevuld geretourneerd wordt door de Servicemonteur. Op basis van de ingevulde checklists, kan een offerte worden opgesteld voor vervolgwerkzaamheden. </t>
  </si>
  <si>
    <t>SPECIFIEKE KLANTVRAGEN</t>
  </si>
  <si>
    <t>Status</t>
  </si>
  <si>
    <t>Check</t>
  </si>
  <si>
    <t>Herstel</t>
  </si>
  <si>
    <t>In te vullen toelichting</t>
  </si>
  <si>
    <t>Aanvulling nodig?</t>
  </si>
  <si>
    <t>DDC FIRMWARE</t>
  </si>
  <si>
    <t>Controle softwareversie op regelaar, modules en naregelingen</t>
  </si>
  <si>
    <t>FUNCTIONELE SOFTWARE (FYSIEK)</t>
  </si>
  <si>
    <t>Map "Programma's" controleren</t>
  </si>
  <si>
    <t>Warmtebeeldcontrole van aangesloten naregelingen</t>
  </si>
  <si>
    <t>Controleren werking overwerkschakelaars (software)</t>
  </si>
  <si>
    <t>Standaard loggen aanwezig</t>
  </si>
  <si>
    <t>Extended loggen aanwezig</t>
  </si>
  <si>
    <t xml:space="preserve">Controleren aanwezigheid automatische back-up </t>
  </si>
  <si>
    <t>Back-up maken van controler</t>
  </si>
  <si>
    <t>Standen softwareschakelaars op automatisch</t>
  </si>
  <si>
    <t>Aantal urgente en niet urgente alarmen noteren</t>
  </si>
  <si>
    <t>Storingen overzicht en historie vastleggen</t>
  </si>
  <si>
    <t>Map "Opmerkingen" nakijken in regelaar (logboek)</t>
  </si>
  <si>
    <t>Instellingen prioriteiten storingen</t>
  </si>
  <si>
    <t>Doormeldingen verzamelstoringen controleren</t>
  </si>
  <si>
    <t>Type en technische gegevens toegepaste water- luchtklepservomotoren</t>
  </si>
  <si>
    <t>Type en technische gegevens toegepaste opnemers</t>
  </si>
  <si>
    <t>Type en technische gegevens toegepaste Modbus apparaten</t>
  </si>
  <si>
    <t>Type en technische gegevens toegepaste BACnet apparaten</t>
  </si>
  <si>
    <t>UPS aanwezig</t>
  </si>
  <si>
    <t>Systeem events (100) controleren</t>
  </si>
  <si>
    <t>Functietest scenario's: thermostaten vorst, minimaal, maximaal, druk</t>
  </si>
  <si>
    <t>Het is van belang het tabblad "Gegevens" zo zorgvuldig mogelijk in te vullen, alvorens de Servicemonteur het onderhoud gaat uitvoeren. Dit is namelijk bepalend voor de inhoud van de checklists, welke ook een bijlage van de rapportage zullen zijn. Is het tabblad compleet, druk dan op de knop "Voltooid" onderin het tabblad. Zorg dat Marco's ingeschakeld zijn.</t>
  </si>
  <si>
    <t>Specifiek voor Servicecoördinator:</t>
  </si>
  <si>
    <t>De Servicecoördinator zal aangeven welke checklists in een bepaalde onderhoudsronde ingevuld dienen te worden. Komen er tijdens de onderhoudsronde specifieke vragen van de klant? Overleg dan altijd eerst met Servicecoördinator of deze tijdens het onderhoud meegenomen kunnen worden. Omschrijf hiervoor altijd een aparte check in de tabel in tabblad "Klantvragen", ook wanneer de vraag tijdens deze onderhoudsronde niet wordt meegenomen!</t>
  </si>
  <si>
    <t>Loop de checklists door en zet een vink waar van toepassing. In de eerste box wanneer het item is uitgevoerd of gecontroleerd, ook in de tweede box wanneer een afwijking is geconstateerd en vink de derde box aan wanneer de afwijking direct is hersteld. Afhankelijk van hetgeen in de checklists ingevuld wordt, zal de grijs gekleurde cel verkleuren. GROEN wanneer het onderhoud is afgevinkt en er geen afwijkingen zijn. ROOD wanneer er wel afwijkingen zijn en die niet al direct opgelost kunnen worden. ORANJE wanneer er afwijkingen zijn die wel direct op te lossen waren. Wanneer de cel Rood of Oranje kleurd, is het de bedoeling een toelichting te geven op de geconstateerde afwijking en de ondernomen acties of te adviseren vervolgacties. Aan de hand hiervan kan de Servicecoördinator namelijk een offerte (laten) opstellen.</t>
  </si>
  <si>
    <t>Klantvragen</t>
  </si>
  <si>
    <t>Overig</t>
  </si>
  <si>
    <t>Onderwerp klantvraag</t>
  </si>
  <si>
    <t>Door u benoemde aandachtspunten</t>
  </si>
  <si>
    <t>Type Locatie</t>
  </si>
  <si>
    <t>Kantoor (gehuurd)</t>
  </si>
  <si>
    <t>Kantoor (verhuurd)</t>
  </si>
  <si>
    <t>Kantoor eigen gebruik</t>
  </si>
  <si>
    <t>School</t>
  </si>
  <si>
    <t>Ziekenhuis</t>
  </si>
  <si>
    <t>Type gebouwgebruik door klant:</t>
  </si>
  <si>
    <t>Onder de aandacht</t>
  </si>
  <si>
    <t>Om precies te zien wat op het gebied van energiebesparing voor uw organisatie van toepassing is, heeft de overheid een website met informatie en een checklist ingericht:</t>
  </si>
  <si>
    <t>Website cybersecurity NIS2 door het NCSC</t>
  </si>
  <si>
    <t>Checklist energiebesparingsverplichtingen door RVO</t>
  </si>
  <si>
    <t>Voor wat betreft energiebesparing kunnen de volgende bepalingen voor u van toepassing zijn:</t>
  </si>
  <si>
    <t>Mocht u meer willen weten over hoe EQUANS u bij één of meerdere van deze onderwerpen kan helpen, neem dan gerust contact op met Walter Koenders, bereikbaar op telefoonnummer 06 - 106 016 34 of per email aan Walter.Koenders@EQUANS.com, of neem alvast een kijkje op onze website:</t>
  </si>
  <si>
    <t>EQUANS Building Automation kan u helpen, door bijvoorbeeld rapportages te laten genereren met data die al in uw Gebouwbeheersysteem aanwezig is, of door samen met u een risico assesment op het gebied van cybersecurity uit te voeren. Maar het eerste inzicht wat we u kunnen bieden, is inzicht in van toepassing zijnde regelgeving.</t>
  </si>
  <si>
    <t>Daarnaast zijn er ook andere thema's, waar (nog) geen wetgeving aan verbonden is, die interessant voor u kunnen zijn. Voorbeelden hiervan zijn de uitdagingen rondom netcongestie, het verlagen van uw piekverbruik om overschrijdingen van aansluitvermogen te voorkomen of het aansluitvermogen te kunnen reduceren. Maar ook Smart oplossingen waar machine learning of artificial intellegence een rol kunnen spelen, zoals Grids, Smart Buildings, Smart Workplace toepassingen, of de basis van dit alles; het Smart Ready maken van uw gebouw en installaties.</t>
  </si>
  <si>
    <t>Wij kunnen het ons voorstellen dat het beheren van een gebouw of de daarin aanwezige installaties een flinke klus is. Goed personeel is schaars en de wetgeving en mogelijkheden die er van toepassing zijn, worden steeds uitgebreider. Als leverancier van automatiseringsoplossingen hebben wij zicht op een deel daarvan en daarom willen wij u graag informeren over de laatste stand van zaken op het gebied van verplichtingen en mogelijkheden rondom de thema's energiebesparing en cybersecurity. Twee thema's die zeer actueel zijn en welke van grote waarde voor uw organisatie kunnen zijn.</t>
  </si>
  <si>
    <t>EQUANS website</t>
  </si>
  <si>
    <t>onderhoudsrapportage</t>
  </si>
  <si>
    <t>Eventuele vragen over de rapportage kunt u vanzelfsprekend aan ons voorleggen. 
Hiervoor kunt u tijdens kantoortijden contact opnemen met onze Service Coördinator, de heer 
Rob Kuilder, bereikbaar op telefoonnummer 06 - 223 951 85 of per email aan Rob.Kuilder@EQUANS.com.</t>
  </si>
  <si>
    <t>Niet opgelost tijdens huidige onderhoudsronde:</t>
  </si>
  <si>
    <t>Niet opgeloste afwijkingen</t>
  </si>
  <si>
    <t>Opgeloste afwijkingen</t>
  </si>
  <si>
    <t>TOTAAL</t>
  </si>
  <si>
    <t>Ongereed</t>
  </si>
  <si>
    <t>Kopieer en/of hernoem dit document in servicemap klant</t>
  </si>
  <si>
    <t>1
2</t>
  </si>
  <si>
    <t>Aantal onderhoudsrapportages in contractjaar</t>
  </si>
  <si>
    <t>Datum of periode uitgevoerde onderhoud:</t>
  </si>
  <si>
    <t>middels diverse protocollen</t>
  </si>
  <si>
    <t>·         energiebesparingsplicht, met bijbehorende informatie- of onderzoeksplicht energiebesparing
·         EED-auditplicht
·         rapportageverplichting werkgebonden personenmobiliteit
·         energielabelplicht voor (overheids)gebouwen
·         energielabel C-plicht voor kantoorgebouwen
·         energieprestatie-eisen bij nieuwbouw en renovatie van gebouwen
·         energieprestatie-eisen bij installatie en renovatie van gebouwinstallaties
·         gebouwautomatisering en controlesysteem (GACS) verplichting</t>
  </si>
  <si>
    <t>Aantal nog te controleren panelen:</t>
  </si>
  <si>
    <t>Functietest schakelende servomotoren</t>
  </si>
  <si>
    <t>Werking snelkoppelingen grafische interface</t>
  </si>
  <si>
    <t>Regelkringen berekend setpoint/actuele waarde</t>
  </si>
  <si>
    <t>Binding Diagnostics controleren</t>
  </si>
  <si>
    <t>Werking brandschakelaars/schakelingen, volgens PVE en RTO</t>
  </si>
  <si>
    <t>Controleren klok- en vakantieprogramma's</t>
  </si>
  <si>
    <t>Controleren aanwezigheid van zomer-/winterblokkeringen</t>
  </si>
  <si>
    <t>Floormanager kastnaam</t>
  </si>
  <si>
    <t>INHOUDSOPGAVE</t>
  </si>
  <si>
    <t/>
  </si>
  <si>
    <t>I/O softwarematig geforceerd</t>
  </si>
  <si>
    <t>Values geforceerd</t>
  </si>
  <si>
    <t>Alarmen disabled</t>
  </si>
  <si>
    <t>OVERIGE CONTROLES</t>
  </si>
  <si>
    <t>VRIJ IN TE VULLEN</t>
  </si>
  <si>
    <t>Notities en 
afbeeldingen</t>
  </si>
  <si>
    <t>Op het gebied van cybersecurity is de NIS2 richtlijn de belangrijkste, welke eind 2024 van kracht zal zijn. Om toe te lichten wat die voor uw organisatie zal betekenen, heeft het Nationaal CyberSecurity Centrum een website ingericht:</t>
  </si>
  <si>
    <t>apart geïnstalleerde hardware</t>
  </si>
  <si>
    <t>redundant geïnstalleerde hardware</t>
  </si>
  <si>
    <t>alleen software</t>
  </si>
  <si>
    <t>NOTITIES EN AFBEELDINGEN</t>
  </si>
  <si>
    <t>Meet- en regel onderhoudsrapportage</t>
  </si>
  <si>
    <t xml:space="preserve">
- Visuele inspectie van regelpanelen en schakelapparatuur 
- Updates uitvoeren en back-ups maken van systeem- en GBS software 
- Nalopen van alarmen en forceringen in het gebouwbeheersysteem </t>
  </si>
  <si>
    <t xml:space="preserve">
- Controle op stabiliteit regelkringen in het gebouwbeheersysteem 
- Steekproefsgewijze controle van veldapparatuur 
- Analyse van functioneren van installaties en mogelijke optimaliseringen </t>
  </si>
  <si>
    <t xml:space="preserve">
- Controle van loggingen en alarmprioritering
- Controle van zomer- en winterinstellingen</t>
  </si>
  <si>
    <t>Doormeldingen controleren</t>
  </si>
  <si>
    <t>Edited with Python from StruxureGuard</t>
  </si>
  <si>
    <t>ExcelWriter 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</si>
</sst>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0"/>
      <color theme="1"/>
      <name val="Roboto"/>
      <family val="2"/>
    </font>
    <font>
      <sz val="10"/>
      <color theme="1"/>
      <name val="Roboto"/>
    </font>
    <font>
      <i/>
      <sz val="26"/>
      <color rgb="FF44546A"/>
      <name val="Roboto"/>
    </font>
    <font>
      <i/>
      <sz val="10"/>
      <color theme="1"/>
      <name val="Roboto"/>
    </font>
    <font>
      <b/>
      <sz val="10"/>
      <color theme="1"/>
      <name val="Roboto"/>
    </font>
    <font>
      <sz val="10"/>
      <name val="Roboto"/>
      <family val="2"/>
    </font>
    <font>
      <sz val="10"/>
      <name val="Roboto"/>
    </font>
    <font>
      <sz val="10"/>
      <color rgb="FF000000"/>
      <name val="Roboto"/>
    </font>
    <font>
      <b/>
      <sz val="10"/>
      <name val="Roboto"/>
    </font>
    <font>
      <sz val="10"/>
      <color theme="0"/>
      <name val="Roboto"/>
      <family val="2"/>
    </font>
    <font>
      <sz val="8"/>
      <name val="Roboto"/>
      <family val="2"/>
    </font>
    <font>
      <sz val="10"/>
      <color theme="1"/>
      <name val="Roboto"/>
      <family val="2"/>
    </font>
    <font>
      <b/>
      <i/>
      <u/>
      <sz val="10"/>
      <color theme="1"/>
      <name val="Roboto"/>
    </font>
    <font>
      <b/>
      <i/>
      <u/>
      <sz val="10"/>
      <color rgb="FFFF0000"/>
      <name val="Roboto"/>
    </font>
    <font>
      <b/>
      <u/>
      <sz val="10"/>
      <color rgb="FFFF0000"/>
      <name val="Roboto"/>
    </font>
    <font>
      <sz val="10"/>
      <color theme="0"/>
      <name val="Roboto"/>
    </font>
    <font>
      <u/>
      <sz val="10"/>
      <color theme="10"/>
      <name val="Roboto"/>
      <family val="2"/>
    </font>
    <font>
      <sz val="10"/>
      <color rgb="FFFF0000"/>
      <name val="Roboto"/>
    </font>
    <font>
      <sz val="26"/>
      <color rgb="FF44546A"/>
      <name val="Roboto Black"/>
    </font>
  </fonts>
  <fills count="3">
    <fill>
      <patternFill patternType="none"/>
    </fill>
    <fill>
      <patternFill patternType="gray125"/>
    </fill>
    <fill>
      <patternFill patternType="solid">
        <fgColor rgb="FFC8E6FF"/>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3">
    <xf numFmtId="0" fontId="0" fillId="0" borderId="0"/>
    <xf numFmtId="9" fontId="11" fillId="0" borderId="0" applyFont="0" applyFill="0" applyBorder="0" applyAlignment="0" applyProtection="0"/>
    <xf numFmtId="0" fontId="16" fillId="0" borderId="0" applyNumberFormat="0" applyFill="0" applyBorder="0" applyAlignment="0" applyProtection="0"/>
  </cellStyleXfs>
  <cellXfs count="115">
    <xf numFmtId="0" fontId="0" fillId="0" borderId="0" xfId="0"/>
    <xf numFmtId="0" fontId="1" fillId="0" borderId="0" xfId="0" applyFont="1" applyAlignment="1">
      <alignment vertical="center"/>
    </xf>
    <xf numFmtId="0" fontId="2" fillId="0" borderId="0" xfId="0" applyFont="1" applyAlignment="1">
      <alignment horizontal="center" vertical="center"/>
    </xf>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1" fillId="0" borderId="0" xfId="0" applyFont="1" applyAlignment="1">
      <alignment vertical="top" wrapText="1"/>
    </xf>
    <xf numFmtId="0" fontId="4" fillId="0" borderId="0" xfId="0" applyFont="1"/>
    <xf numFmtId="0" fontId="0" fillId="0" borderId="0" xfId="0" applyAlignment="1">
      <alignment horizontal="left"/>
    </xf>
    <xf numFmtId="0" fontId="5" fillId="0" borderId="0" xfId="0" applyFont="1"/>
    <xf numFmtId="0" fontId="6" fillId="0" borderId="0" xfId="0" applyFont="1"/>
    <xf numFmtId="0" fontId="1" fillId="0" borderId="0" xfId="0" applyFont="1" applyAlignment="1">
      <alignment horizontal="left" vertical="top" wrapText="1"/>
    </xf>
    <xf numFmtId="0" fontId="1" fillId="0" borderId="0" xfId="0" applyFont="1"/>
    <xf numFmtId="0" fontId="1" fillId="0" borderId="0" xfId="0" applyFont="1" applyAlignment="1">
      <alignment vertical="top"/>
    </xf>
    <xf numFmtId="0" fontId="0" fillId="0" borderId="0" xfId="0" applyAlignment="1">
      <alignment horizontal="left" textRotation="45" wrapText="1"/>
    </xf>
    <xf numFmtId="0" fontId="9" fillId="0" borderId="0" xfId="0" applyFont="1"/>
    <xf numFmtId="9" fontId="8" fillId="0" borderId="0" xfId="1" applyFont="1"/>
    <xf numFmtId="9" fontId="0" fillId="0" borderId="0" xfId="0" applyNumberFormat="1" applyAlignment="1">
      <alignment horizontal="center" vertical="top"/>
    </xf>
    <xf numFmtId="0" fontId="0" fillId="0" borderId="0" xfId="0" applyAlignment="1" applyProtection="1">
      <alignment horizontal="left"/>
      <protection locked="0"/>
    </xf>
    <xf numFmtId="0" fontId="0" fillId="0" borderId="0" xfId="0" applyAlignment="1">
      <alignment horizontal="left" vertical="top" wrapText="1"/>
    </xf>
    <xf numFmtId="0" fontId="3" fillId="0" borderId="0" xfId="0" applyFont="1" applyAlignment="1">
      <alignment horizontal="left" vertical="top" wrapText="1"/>
    </xf>
    <xf numFmtId="0" fontId="0" fillId="0" borderId="0" xfId="0" applyAlignment="1">
      <alignment horizontal="center" wrapText="1"/>
    </xf>
    <xf numFmtId="0" fontId="14" fillId="0" borderId="0" xfId="0" applyFont="1"/>
    <xf numFmtId="0" fontId="1" fillId="0" borderId="0" xfId="0" applyFont="1" applyAlignment="1">
      <alignment horizontal="center" vertical="top"/>
    </xf>
    <xf numFmtId="0" fontId="9" fillId="0" borderId="0" xfId="0" applyFont="1" applyAlignment="1">
      <alignment horizontal="left" vertical="top" wrapText="1"/>
    </xf>
    <xf numFmtId="0" fontId="15" fillId="0" borderId="0" xfId="0" applyFont="1" applyAlignment="1">
      <alignment horizontal="left" vertical="top" wrapText="1"/>
    </xf>
    <xf numFmtId="0" fontId="1" fillId="0" borderId="0" xfId="0" applyFont="1" applyAlignment="1">
      <alignment horizontal="left" vertical="top"/>
    </xf>
    <xf numFmtId="0" fontId="16" fillId="0" borderId="0" xfId="2" applyAlignment="1">
      <alignment horizontal="left" vertical="top" wrapText="1"/>
    </xf>
    <xf numFmtId="9" fontId="0" fillId="0" borderId="0" xfId="0" applyNumberFormat="1"/>
    <xf numFmtId="0" fontId="0" fillId="0" borderId="0" xfId="0" applyProtection="1">
      <protection locked="0"/>
    </xf>
    <xf numFmtId="0" fontId="9" fillId="0" borderId="0" xfId="0" applyFont="1" applyProtection="1">
      <protection locked="0"/>
    </xf>
    <xf numFmtId="0" fontId="15" fillId="0" borderId="0" xfId="0" applyFont="1"/>
    <xf numFmtId="0" fontId="1" fillId="0" borderId="0" xfId="0" applyFont="1" applyAlignment="1" applyProtection="1">
      <alignment horizontal="left" vertical="top"/>
      <protection locked="0"/>
    </xf>
    <xf numFmtId="0" fontId="1" fillId="0" borderId="0" xfId="0" applyFont="1" applyAlignment="1" applyProtection="1">
      <alignment vertical="top"/>
      <protection locked="0"/>
    </xf>
    <xf numFmtId="0" fontId="1" fillId="0" borderId="0" xfId="0" applyFont="1" applyProtection="1">
      <protection locked="0"/>
    </xf>
    <xf numFmtId="0" fontId="4" fillId="0" borderId="0" xfId="0" applyFont="1" applyAlignment="1" applyProtection="1">
      <alignment horizontal="left" vertical="top"/>
      <protection locked="0"/>
    </xf>
    <xf numFmtId="0" fontId="3" fillId="0" borderId="0" xfId="0" applyFont="1" applyAlignment="1" applyProtection="1">
      <alignment horizontal="left" vertical="top" wrapText="1"/>
      <protection locked="0"/>
    </xf>
    <xf numFmtId="0" fontId="0" fillId="0" borderId="0" xfId="0" applyAlignment="1" applyProtection="1">
      <alignment vertical="top" wrapText="1"/>
      <protection locked="0"/>
    </xf>
    <xf numFmtId="0" fontId="0" fillId="0" borderId="0" xfId="0" applyAlignment="1" applyProtection="1">
      <alignment vertical="top"/>
      <protection locked="0"/>
    </xf>
    <xf numFmtId="0" fontId="4" fillId="0" borderId="0" xfId="0" applyFont="1" applyAlignment="1" applyProtection="1">
      <alignment vertical="top"/>
      <protection locked="0"/>
    </xf>
    <xf numFmtId="0" fontId="1" fillId="0" borderId="0" xfId="0" applyFont="1" applyAlignment="1" applyProtection="1">
      <alignment vertical="center"/>
      <protection locked="0"/>
    </xf>
    <xf numFmtId="0" fontId="1" fillId="0" borderId="0" xfId="0" applyFont="1" applyAlignment="1" applyProtection="1">
      <alignment vertical="top" wrapText="1"/>
      <protection locked="0"/>
    </xf>
    <xf numFmtId="0" fontId="1" fillId="0" borderId="0" xfId="0" applyFont="1" applyAlignment="1" applyProtection="1">
      <alignment horizontal="left" vertical="top" wrapText="1"/>
      <protection locked="0"/>
    </xf>
    <xf numFmtId="0" fontId="17" fillId="0" borderId="0" xfId="0" applyFont="1" applyAlignment="1">
      <alignment horizontal="left" vertical="top" wrapText="1"/>
    </xf>
    <xf numFmtId="0" fontId="17" fillId="0" borderId="0" xfId="0" applyFont="1"/>
    <xf numFmtId="0" fontId="15" fillId="0" borderId="0" xfId="0" applyFont="1" applyAlignment="1">
      <alignment vertical="top"/>
    </xf>
    <xf numFmtId="0" fontId="0" fillId="0" borderId="0" xfId="0" quotePrefix="1" applyAlignment="1" applyProtection="1">
      <alignment vertical="top"/>
      <protection locked="0"/>
    </xf>
    <xf numFmtId="0" fontId="1" fillId="0" borderId="0" xfId="0" quotePrefix="1" applyFont="1" applyAlignment="1">
      <alignment vertical="top"/>
    </xf>
    <xf numFmtId="0" fontId="16" fillId="0" borderId="0" xfId="2" applyProtection="1">
      <protection locked="0"/>
    </xf>
    <xf numFmtId="0" fontId="5" fillId="0" borderId="0" xfId="0" applyFont="1" applyAlignment="1">
      <alignment horizontal="left"/>
    </xf>
    <xf numFmtId="0" fontId="9" fillId="0" borderId="0" xfId="0" applyFont="1" applyAlignment="1" applyProtection="1">
      <alignment horizontal="left"/>
      <protection locked="0"/>
    </xf>
    <xf numFmtId="0" fontId="18" fillId="0" borderId="0" xfId="0" applyFont="1" applyAlignment="1">
      <alignment vertical="center" wrapText="1"/>
    </xf>
    <xf numFmtId="0" fontId="17" fillId="0" borderId="0" xfId="0" applyFont="1" applyAlignment="1">
      <alignment vertical="top"/>
    </xf>
    <xf numFmtId="0" fontId="0" fillId="0" borderId="0" xfId="0" applyAlignment="1" applyProtection="1">
      <alignment horizontal="left" vertical="top" wrapText="1"/>
      <protection locked="0"/>
    </xf>
    <xf numFmtId="0" fontId="0" fillId="0" borderId="0" xfId="0" applyAlignment="1">
      <alignment horizontal="center"/>
    </xf>
    <xf numFmtId="14" fontId="0" fillId="0" borderId="0" xfId="0" applyNumberFormat="1" applyAlignment="1">
      <alignment horizontal="center"/>
    </xf>
    <xf numFmtId="9" fontId="0" fillId="0" borderId="1" xfId="1" applyFont="1" applyBorder="1" applyAlignment="1" applyProtection="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2" fillId="0" borderId="0" xfId="0" applyFont="1" applyAlignment="1">
      <alignment vertical="center"/>
    </xf>
    <xf numFmtId="0" fontId="15" fillId="0" borderId="0" xfId="0" applyFont="1" applyAlignment="1">
      <alignment horizontal="left" vertical="top"/>
    </xf>
    <xf numFmtId="9" fontId="15" fillId="0" borderId="0" xfId="0" applyNumberFormat="1" applyFont="1" applyAlignment="1">
      <alignment vertical="top"/>
    </xf>
    <xf numFmtId="9" fontId="15" fillId="0" borderId="0" xfId="0" applyNumberFormat="1" applyFont="1" applyAlignment="1">
      <alignment horizontal="left" vertical="top" wrapText="1"/>
    </xf>
    <xf numFmtId="0" fontId="0" fillId="0" borderId="0" xfId="0" applyFill="1"/>
    <xf numFmtId="0" fontId="0" fillId="0" borderId="0" xfId="0" applyFill="1" applyProtection="1">
      <protection locked="0"/>
    </xf>
    <xf numFmtId="0" fontId="16" fillId="0" borderId="0" xfId="2" applyFill="1" applyProtection="1">
      <protection locked="0"/>
    </xf>
    <xf numFmtId="0" fontId="0" fillId="0" borderId="0" xfId="0" applyFill="1" applyAlignment="1">
      <alignment horizontal="left" vertical="top" wrapText="1"/>
    </xf>
    <xf numFmtId="0" fontId="4" fillId="0" borderId="0" xfId="0" applyFont="1" applyFill="1" applyAlignment="1">
      <alignment horizontal="right"/>
    </xf>
    <xf numFmtId="0" fontId="4" fillId="0" borderId="0" xfId="0" applyFont="1" applyFill="1"/>
    <xf numFmtId="0" fontId="4" fillId="0" borderId="0" xfId="0" quotePrefix="1" applyFont="1" applyFill="1"/>
    <xf numFmtId="0" fontId="1" fillId="0" borderId="0" xfId="0" applyFont="1" applyFill="1" applyAlignment="1">
      <alignment horizontal="right"/>
    </xf>
    <xf numFmtId="0" fontId="1" fillId="0" borderId="0" xfId="0" applyFont="1" applyFill="1"/>
    <xf numFmtId="0" fontId="0" fillId="0" borderId="0" xfId="0" applyFill="1" applyAlignment="1">
      <alignment horizontal="right"/>
    </xf>
    <xf numFmtId="0" fontId="4" fillId="0" borderId="0" xfId="0" applyFont="1" applyFill="1" applyAlignment="1">
      <alignment horizontal="left"/>
    </xf>
    <xf numFmtId="0" fontId="0" fillId="0" borderId="0" xfId="0" applyFill="1" applyAlignment="1">
      <alignment horizontal="left" wrapText="1"/>
    </xf>
    <xf numFmtId="0" fontId="12" fillId="0" borderId="0" xfId="0" applyFont="1" applyFill="1" applyAlignment="1">
      <alignment horizontal="center" vertical="top" wrapText="1"/>
    </xf>
    <xf numFmtId="0" fontId="13" fillId="0" borderId="0" xfId="0" applyFont="1" applyFill="1"/>
    <xf numFmtId="0" fontId="0" fillId="2" borderId="0" xfId="0" applyFill="1"/>
    <xf numFmtId="0" fontId="0" fillId="2" borderId="0" xfId="0" applyFill="1" applyProtection="1">
      <protection locked="0"/>
    </xf>
    <xf numFmtId="0" fontId="0" fillId="0" borderId="0" xfId="0" applyFill="1" applyAlignment="1">
      <alignment horizontal="left"/>
    </xf>
    <xf numFmtId="0" fontId="0" fillId="0" borderId="0" xfId="0" applyFill="1" applyAlignment="1" applyProtection="1">
      <alignment horizontal="left"/>
      <protection locked="0"/>
    </xf>
    <xf numFmtId="0" fontId="0" fillId="2" borderId="0" xfId="0" applyFill="1" applyAlignment="1" applyProtection="1">
      <alignment horizontal="left"/>
      <protection locked="0"/>
    </xf>
    <xf numFmtId="0" fontId="16" fillId="2" borderId="0" xfId="2" applyFill="1" applyProtection="1">
      <protection locked="0"/>
    </xf>
    <xf numFmtId="9" fontId="4" fillId="0" borderId="0" xfId="1" applyFont="1" applyFill="1" applyProtection="1"/>
    <xf numFmtId="0" fontId="9" fillId="0" borderId="0" xfId="0" applyFont="1" applyFill="1" applyProtection="1">
      <protection locked="0"/>
    </xf>
    <xf numFmtId="0" fontId="6" fillId="0" borderId="0" xfId="0" applyFont="1" applyFill="1" applyProtection="1">
      <protection locked="0"/>
    </xf>
    <xf numFmtId="0" fontId="5" fillId="0" borderId="0" xfId="0" applyFont="1" applyFill="1" applyProtection="1">
      <protection locked="0"/>
    </xf>
    <xf numFmtId="0" fontId="9" fillId="2" borderId="0" xfId="0" applyFont="1" applyFill="1" applyProtection="1">
      <protection locked="0"/>
    </xf>
    <xf numFmtId="0" fontId="6" fillId="2" borderId="0" xfId="0" applyFont="1" applyFill="1" applyProtection="1">
      <protection locked="0"/>
    </xf>
    <xf numFmtId="0" fontId="5" fillId="2" borderId="0" xfId="0" applyFont="1" applyFill="1" applyProtection="1">
      <protection locked="0"/>
    </xf>
    <xf numFmtId="9" fontId="8" fillId="0" borderId="0" xfId="1" applyFont="1" applyFill="1"/>
    <xf numFmtId="0" fontId="5" fillId="0" borderId="0" xfId="0" applyFont="1" applyFill="1"/>
    <xf numFmtId="0" fontId="5" fillId="0" borderId="0" xfId="0" applyFont="1" applyFill="1" applyAlignment="1">
      <alignment horizontal="left"/>
    </xf>
    <xf numFmtId="0" fontId="9" fillId="0" borderId="0" xfId="0" applyFont="1" applyFill="1"/>
    <xf numFmtId="9" fontId="0" fillId="0" borderId="0" xfId="0" applyNumberFormat="1" applyFill="1"/>
    <xf numFmtId="0" fontId="6" fillId="0" borderId="0" xfId="0" applyFont="1" applyFill="1"/>
    <xf numFmtId="0" fontId="9" fillId="0" borderId="0" xfId="0" applyFont="1" applyFill="1" applyAlignment="1" applyProtection="1">
      <alignment horizontal="left"/>
      <protection locked="0"/>
    </xf>
    <xf numFmtId="0" fontId="6" fillId="2" borderId="0" xfId="0" applyFont="1" applyFill="1"/>
    <xf numFmtId="0" fontId="5" fillId="2" borderId="0" xfId="0" applyFont="1" applyFill="1"/>
    <xf numFmtId="0" fontId="9" fillId="2" borderId="0" xfId="0" applyFont="1" applyFill="1" applyAlignment="1" applyProtection="1">
      <alignment horizontal="left"/>
      <protection locked="0"/>
    </xf>
    <xf numFmtId="0" fontId="3" fillId="0" borderId="0" xfId="0" applyFont="1" applyFill="1" applyAlignment="1">
      <alignment horizontal="center" vertical="top" wrapText="1"/>
    </xf>
    <xf numFmtId="0" fontId="0" fillId="0" borderId="0" xfId="0" applyFill="1" applyAlignment="1">
      <alignment horizontal="left" vertical="top" wrapText="1"/>
    </xf>
    <xf numFmtId="0" fontId="1" fillId="0" borderId="0" xfId="0" applyFont="1" applyFill="1" applyAlignment="1">
      <alignment horizontal="left" vertical="top" wrapText="1"/>
    </xf>
    <xf numFmtId="0" fontId="1" fillId="0" borderId="0" xfId="0" applyFont="1" applyAlignment="1">
      <alignment horizontal="left" vertical="top" wrapText="1"/>
    </xf>
    <xf numFmtId="0" fontId="16" fillId="0" borderId="0" xfId="2" applyFill="1"/>
    <xf numFmtId="0" fontId="1" fillId="0" borderId="0" xfId="0" quotePrefix="1" applyFont="1" applyAlignment="1">
      <alignment horizontal="left" vertical="top" wrapText="1"/>
    </xf>
    <xf numFmtId="0" fontId="0" fillId="0" borderId="0" xfId="0" applyAlignment="1">
      <alignment horizontal="left" vertical="top" wrapText="1"/>
    </xf>
    <xf numFmtId="0" fontId="2" fillId="0" borderId="0" xfId="0" applyFont="1" applyAlignment="1" applyProtection="1">
      <alignment horizontal="center" vertical="center"/>
      <protection locked="0"/>
    </xf>
    <xf numFmtId="0" fontId="1" fillId="0" borderId="0" xfId="0" applyFont="1" applyAlignment="1">
      <alignment horizontal="left" vertical="top"/>
    </xf>
    <xf numFmtId="0" fontId="16" fillId="0" borderId="0" xfId="2" applyAlignment="1">
      <alignment horizontal="left" vertical="top" wrapText="1"/>
    </xf>
    <xf numFmtId="0" fontId="3" fillId="0" borderId="0" xfId="0" applyFont="1" applyAlignment="1">
      <alignment horizontal="left" vertical="top" wrapText="1"/>
    </xf>
    <xf numFmtId="0" fontId="2" fillId="0" borderId="0" xfId="0" applyFont="1" applyAlignment="1">
      <alignment horizontal="center" vertical="center"/>
    </xf>
    <xf numFmtId="0" fontId="18" fillId="0" borderId="0" xfId="0" applyFont="1" applyAlignment="1">
      <alignment horizontal="left" vertical="center" wrapText="1"/>
    </xf>
    <xf numFmtId="0" fontId="0" fillId="0" borderId="0" xfId="0" applyAlignment="1" applyProtection="1">
      <alignment horizontal="left" wrapText="1"/>
      <protection locked="0"/>
    </xf>
  </cellXfs>
  <cellStyles count="3">
    <cellStyle name="Hyperlink" xfId="2" builtinId="8"/>
    <cellStyle name="Procent" xfId="1" builtinId="5"/>
    <cellStyle name="Standaard" xfId="0" builtinId="0"/>
  </cellStyles>
  <dxfs count="48">
    <dxf>
      <border>
        <left style="thin">
          <color auto="1"/>
        </left>
        <right style="thin">
          <color auto="1"/>
        </right>
        <top style="thin">
          <color auto="1"/>
        </top>
        <bottom style="thin">
          <color auto="1"/>
        </bottom>
        <vertical/>
        <horizontal/>
      </border>
    </dxf>
    <dxf>
      <border>
        <left/>
        <right/>
        <top/>
        <bottom/>
        <vertical/>
        <horizontal/>
      </border>
    </dxf>
    <dxf>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4ADC66"/>
      <color rgb="FFFF61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Roboto" panose="02000000000000000000" pitchFamily="2" charset="0"/>
                <a:ea typeface="Roboto" panose="02000000000000000000" pitchFamily="2" charset="0"/>
                <a:cs typeface="+mn-cs"/>
              </a:defRPr>
            </a:pPr>
            <a:r>
              <a:rPr lang="en-US"/>
              <a:t>Gereedheid </a:t>
            </a:r>
            <a:br>
              <a:rPr lang="en-US"/>
            </a:br>
            <a:r>
              <a:rPr lang="en-US"/>
              <a:t>onderhoud</a:t>
            </a:r>
          </a:p>
        </c:rich>
      </c:tx>
      <c:layout>
        <c:manualLayout>
          <c:xMode val="edge"/>
          <c:yMode val="edge"/>
          <c:x val="0.50650565838810335"/>
          <c:y val="4.2598315138406194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Roboto" panose="02000000000000000000" pitchFamily="2" charset="0"/>
              <a:ea typeface="Roboto" panose="02000000000000000000" pitchFamily="2" charset="0"/>
              <a:cs typeface="+mn-cs"/>
            </a:defRPr>
          </a:pPr>
          <a:endParaRPr lang="nl-NL"/>
        </a:p>
      </c:txPr>
    </c:title>
    <c:autoTitleDeleted val="0"/>
    <c:plotArea>
      <c:layout>
        <c:manualLayout>
          <c:layoutTarget val="inner"/>
          <c:xMode val="edge"/>
          <c:yMode val="edge"/>
          <c:x val="0.42891091971125633"/>
          <c:y val="0.26925499697153238"/>
          <c:w val="0.46966789385527108"/>
          <c:h val="0.44610579446799919"/>
        </c:manualLayout>
      </c:layout>
      <c:pieChart>
        <c:varyColors val="1"/>
        <c:ser>
          <c:idx val="0"/>
          <c:order val="0"/>
          <c:tx>
            <c:strRef>
              <c:f>Onderhoudsrapportage!$K$77</c:f>
              <c:strCache>
                <c:ptCount val="1"/>
                <c:pt idx="0">
                  <c:v>Gereedheid onderhoud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E37-45C2-B036-55639334D5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E37-45C2-B036-55639334D5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E37-45C2-B036-55639334D5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nl-NL"/>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extLst>
                <c:ext xmlns:c15="http://schemas.microsoft.com/office/drawing/2012/chart" uri="{02D57815-91ED-43cb-92C2-25804820EDAC}">
                  <c15:fullRef>
                    <c15:sqref>(Onderhoudsrapportage!$J$78:$J$79,Onderhoudsrapportage!$J$81:$J$82)</c15:sqref>
                  </c15:fullRef>
                </c:ext>
              </c:extLst>
              <c:f>(Onderhoudsrapportage!$J$78:$J$79,Onderhoudsrapportage!$J$81)</c:f>
              <c:strCache>
                <c:ptCount val="3"/>
                <c:pt idx="0">
                  <c:v>Ongereed</c:v>
                </c:pt>
                <c:pt idx="2">
                  <c:v>INVULLEN</c:v>
                </c:pt>
              </c:strCache>
            </c:strRef>
          </c:cat>
          <c:val>
            <c:numRef>
              <c:extLst>
                <c:ext xmlns:c15="http://schemas.microsoft.com/office/drawing/2012/chart" uri="{02D57815-91ED-43cb-92C2-25804820EDAC}">
                  <c15:fullRef>
                    <c15:sqref>(Onderhoudsrapportage!$K$78:$K$79,Onderhoudsrapportage!$K$81:$K$82)</c15:sqref>
                  </c15:fullRef>
                </c:ext>
              </c:extLst>
              <c:f>(Onderhoudsrapportage!$K$78:$K$79,Onderhoudsrapportage!$K$81)</c:f>
              <c:numCache>
                <c:formatCode>0%</c:formatCode>
                <c:ptCount val="3"/>
                <c:pt idx="0">
                  <c:v>0</c:v>
                </c:pt>
                <c:pt idx="1">
                  <c:v>0</c:v>
                </c:pt>
                <c:pt idx="2">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4-CAA4-4E10-8D23-4245AAB1AF9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l"/>
      <c:layout>
        <c:manualLayout>
          <c:xMode val="edge"/>
          <c:yMode val="edge"/>
          <c:x val="3.2394378172480934E-2"/>
          <c:y val="0.13717107231758857"/>
          <c:w val="0.41257096804488336"/>
          <c:h val="0.559841021319544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0"/>
    <c:dispBlanksAs val="gap"/>
    <c:showDLblsOverMax val="0"/>
    <c:extLst/>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000" b="1" i="0" u="none" strike="noStrike" kern="1200" spc="0" baseline="0">
                <a:solidFill>
                  <a:sysClr val="windowText" lastClr="000000">
                    <a:lumMod val="65000"/>
                    <a:lumOff val="35000"/>
                  </a:sysClr>
                </a:solidFill>
                <a:latin typeface="Roboto" panose="02000000000000000000" pitchFamily="2" charset="0"/>
                <a:ea typeface="Roboto" panose="02000000000000000000" pitchFamily="2" charset="0"/>
                <a:cs typeface="+mn-cs"/>
              </a:defRPr>
            </a:pPr>
            <a:r>
              <a:rPr lang="en-US" sz="1000" b="1" i="0" u="none" strike="noStrike" kern="1200" spc="0" baseline="0">
                <a:solidFill>
                  <a:sysClr val="windowText" lastClr="000000">
                    <a:lumMod val="65000"/>
                    <a:lumOff val="35000"/>
                  </a:sysClr>
                </a:solidFill>
                <a:latin typeface="Roboto" panose="02000000000000000000" pitchFamily="2" charset="0"/>
                <a:ea typeface="Roboto" panose="02000000000000000000" pitchFamily="2" charset="0"/>
                <a:cs typeface="+mn-cs"/>
              </a:rPr>
              <a:t>Niet opgeloste</a:t>
            </a:r>
            <a:br>
              <a:rPr lang="en-US" sz="1000" b="1" i="0" u="none" strike="noStrike" kern="1200" spc="0" baseline="0">
                <a:solidFill>
                  <a:sysClr val="windowText" lastClr="000000">
                    <a:lumMod val="65000"/>
                    <a:lumOff val="35000"/>
                  </a:sysClr>
                </a:solidFill>
                <a:latin typeface="Roboto" panose="02000000000000000000" pitchFamily="2" charset="0"/>
                <a:ea typeface="Roboto" panose="02000000000000000000" pitchFamily="2" charset="0"/>
                <a:cs typeface="+mn-cs"/>
              </a:rPr>
            </a:br>
            <a:r>
              <a:rPr lang="en-US" sz="1000" b="1" i="0" u="none" strike="noStrike" kern="1200" spc="0" baseline="0">
                <a:solidFill>
                  <a:sysClr val="windowText" lastClr="000000">
                    <a:lumMod val="65000"/>
                    <a:lumOff val="35000"/>
                  </a:sysClr>
                </a:solidFill>
                <a:latin typeface="Roboto" panose="02000000000000000000" pitchFamily="2" charset="0"/>
                <a:ea typeface="Roboto" panose="02000000000000000000" pitchFamily="2" charset="0"/>
                <a:cs typeface="+mn-cs"/>
              </a:rPr>
              <a:t>afwijkingen</a:t>
            </a:r>
          </a:p>
        </c:rich>
      </c:tx>
      <c:layout>
        <c:manualLayout>
          <c:xMode val="edge"/>
          <c:yMode val="edge"/>
          <c:x val="0.25968095388982232"/>
          <c:y val="4.8901426564352306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ysClr val="windowText" lastClr="000000">
                  <a:lumMod val="65000"/>
                  <a:lumOff val="35000"/>
                </a:sysClr>
              </a:solidFill>
              <a:latin typeface="Roboto" panose="02000000000000000000" pitchFamily="2" charset="0"/>
              <a:ea typeface="Roboto" panose="02000000000000000000" pitchFamily="2" charset="0"/>
              <a:cs typeface="+mn-cs"/>
            </a:defRPr>
          </a:pPr>
          <a:endParaRPr lang="nl-NL"/>
        </a:p>
      </c:txPr>
    </c:title>
    <c:autoTitleDeleted val="0"/>
    <c:plotArea>
      <c:layout/>
      <c:pieChart>
        <c:varyColors val="1"/>
        <c:ser>
          <c:idx val="0"/>
          <c:order val="0"/>
          <c:tx>
            <c:strRef>
              <c:f>Onderhoudsrapportage!$M$77</c:f>
              <c:strCache>
                <c:ptCount val="1"/>
                <c:pt idx="0">
                  <c:v>Niet opgeloste afwijkingen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3B-4D82-B3F7-7ED68EA12F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3B-4D82-B3F7-7ED68EA12F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3B-4D82-B3F7-7ED68EA12F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nl-NL"/>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extLst>
                <c:ext xmlns:c15="http://schemas.microsoft.com/office/drawing/2012/chart" uri="{02D57815-91ED-43cb-92C2-25804820EDAC}">
                  <c15:fullRef>
                    <c15:sqref>(Onderhoudsrapportage!$J$78:$J$79,Onderhoudsrapportage!$J$81:$J$82)</c15:sqref>
                  </c15:fullRef>
                </c:ext>
              </c:extLst>
              <c:f>(Onderhoudsrapportage!$J$78:$J$79,Onderhoudsrapportage!$J$81)</c:f>
              <c:strCache>
                <c:ptCount val="3"/>
                <c:pt idx="0">
                  <c:v>Ongereed</c:v>
                </c:pt>
                <c:pt idx="2">
                  <c:v>INVULLEN</c:v>
                </c:pt>
              </c:strCache>
            </c:strRef>
          </c:cat>
          <c:val>
            <c:numRef>
              <c:extLst>
                <c:ext xmlns:c15="http://schemas.microsoft.com/office/drawing/2012/chart" uri="{02D57815-91ED-43cb-92C2-25804820EDAC}">
                  <c15:fullRef>
                    <c15:sqref>(Onderhoudsrapportage!$M$78:$M$79,Onderhoudsrapportage!$M$81:$M$82)</c15:sqref>
                  </c15:fullRef>
                </c:ext>
              </c:extLst>
              <c:f>(Onderhoudsrapportage!$M$78:$M$79,Onderhoudsrapportage!$M$81)</c:f>
              <c:numCache>
                <c:formatCode>General</c:formatCode>
                <c:ptCount val="3"/>
                <c:pt idx="1">
                  <c:v>0</c:v>
                </c:pt>
                <c:pt idx="2">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3-1B43-42BF-AD43-475CEB194179}"/>
            </c:ext>
          </c:extLst>
        </c:ser>
        <c:dLbls>
          <c:dLblPos val="bestFit"/>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Roboto" panose="02000000000000000000" pitchFamily="2" charset="0"/>
                <a:ea typeface="Roboto" panose="02000000000000000000" pitchFamily="2" charset="0"/>
                <a:cs typeface="+mn-cs"/>
              </a:defRPr>
            </a:pPr>
            <a:r>
              <a:rPr lang="en-US" sz="1000" b="1">
                <a:latin typeface="Roboto" panose="02000000000000000000" pitchFamily="2" charset="0"/>
                <a:ea typeface="Roboto" panose="02000000000000000000" pitchFamily="2" charset="0"/>
              </a:rPr>
              <a:t>Opgeloste </a:t>
            </a:r>
            <a:br>
              <a:rPr lang="en-US" sz="1000" b="1">
                <a:latin typeface="Roboto" panose="02000000000000000000" pitchFamily="2" charset="0"/>
                <a:ea typeface="Roboto" panose="02000000000000000000" pitchFamily="2" charset="0"/>
              </a:rPr>
            </a:br>
            <a:r>
              <a:rPr lang="en-US" sz="1000" b="1">
                <a:latin typeface="Roboto" panose="02000000000000000000" pitchFamily="2" charset="0"/>
                <a:ea typeface="Roboto" panose="02000000000000000000" pitchFamily="2" charset="0"/>
              </a:rPr>
              <a:t>afwijkingen</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Roboto" panose="02000000000000000000" pitchFamily="2" charset="0"/>
              <a:ea typeface="Roboto" panose="02000000000000000000" pitchFamily="2" charset="0"/>
              <a:cs typeface="+mn-cs"/>
            </a:defRPr>
          </a:pPr>
          <a:endParaRPr lang="nl-NL"/>
        </a:p>
      </c:txPr>
    </c:title>
    <c:autoTitleDeleted val="0"/>
    <c:plotArea>
      <c:layout/>
      <c:pieChart>
        <c:varyColors val="1"/>
        <c:ser>
          <c:idx val="0"/>
          <c:order val="0"/>
          <c:tx>
            <c:strRef>
              <c:f>Onderhoudsrapportage!$L$77</c:f>
              <c:strCache>
                <c:ptCount val="1"/>
                <c:pt idx="0">
                  <c:v>Opgeloste afwijkingen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53-4B32-9B7B-AB6185FD2A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53-4B32-9B7B-AB6185FD2A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553-4B32-9B7B-AB6185FD2A6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nl-NL"/>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extLst>
                <c:ext xmlns:c15="http://schemas.microsoft.com/office/drawing/2012/chart" uri="{02D57815-91ED-43cb-92C2-25804820EDAC}">
                  <c15:fullRef>
                    <c15:sqref>(Onderhoudsrapportage!$J$78:$J$79,Onderhoudsrapportage!$J$81:$J$82)</c15:sqref>
                  </c15:fullRef>
                </c:ext>
              </c:extLst>
              <c:f>(Onderhoudsrapportage!$J$78:$J$79,Onderhoudsrapportage!$J$81)</c:f>
              <c:strCache>
                <c:ptCount val="3"/>
                <c:pt idx="0">
                  <c:v>Ongereed</c:v>
                </c:pt>
                <c:pt idx="2">
                  <c:v>INVULLEN</c:v>
                </c:pt>
              </c:strCache>
            </c:strRef>
          </c:cat>
          <c:val>
            <c:numRef>
              <c:extLst>
                <c:ext xmlns:c15="http://schemas.microsoft.com/office/drawing/2012/chart" uri="{02D57815-91ED-43cb-92C2-25804820EDAC}">
                  <c15:fullRef>
                    <c15:sqref>(Onderhoudsrapportage!$L$78:$L$79,Onderhoudsrapportage!$L$81:$L$82)</c15:sqref>
                  </c15:fullRef>
                </c:ext>
              </c:extLst>
              <c:f>(Onderhoudsrapportage!$L$78:$L$79,Onderhoudsrapportage!$L$81)</c:f>
              <c:numCache>
                <c:formatCode>General</c:formatCode>
                <c:ptCount val="3"/>
                <c:pt idx="1">
                  <c:v>0</c:v>
                </c:pt>
                <c:pt idx="2">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4-CCD3-4B86-BEBD-0948F2A7E5A8}"/>
            </c:ext>
          </c:extLst>
        </c:ser>
        <c:dLbls>
          <c:dLblPos val="bestFit"/>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Link="Inputblad!$C$3" fmlaRange="Inputblad!$C$6:$C$8" noThreeD="1" sel="0" val="0"/>
</file>

<file path=xl/ctrlProps/ctrlProp3.xml><?xml version="1.0" encoding="utf-8"?>
<formControlPr xmlns="http://schemas.microsoft.com/office/spreadsheetml/2009/9/main" objectType="Drop" dropStyle="combo" dx="22" fmlaLink="Inputblad!$B$3" fmlaRange="Inputblad!$B$6:$B$9" noThreeD="1" sel="0" val="0"/>
</file>

<file path=xl/ctrlProps/ctrlProp4.xml><?xml version="1.0" encoding="utf-8"?>
<formControlPr xmlns="http://schemas.microsoft.com/office/spreadsheetml/2009/9/main" objectType="Drop" dropStyle="combo" dx="22" fmlaLink="Inputblad!$D$3" fmlaRange="Inputblad!$D$6:$D$9" noThreeD="1" sel="0" val="0"/>
</file>

<file path=xl/ctrlProps/ctrlProp5.xml><?xml version="1.0" encoding="utf-8"?>
<formControlPr xmlns="http://schemas.microsoft.com/office/spreadsheetml/2009/9/main" objectType="Drop" dropStyle="combo" dx="22" fmlaLink="Inputblad!$B$35" fmlaRange="Inputblad!$B$38:$B$39" noThreeD="1" sel="0" val="0"/>
</file>

<file path=xl/ctrlProps/ctrlProp6.xml><?xml version="1.0" encoding="utf-8"?>
<formControlPr xmlns="http://schemas.microsoft.com/office/spreadsheetml/2009/9/main" objectType="Drop" dropStyle="combo" dx="22" fmlaLink="Inputblad!$C$35" fmlaRange="Inputblad!$C$38:$C$39" noThreeD="1" sel="0" val="0"/>
</file>

<file path=xl/ctrlProps/ctrlProp7.xml><?xml version="1.0" encoding="utf-8"?>
<formControlPr xmlns="http://schemas.microsoft.com/office/spreadsheetml/2009/9/main" objectType="Drop" dropStyle="combo" dx="22" fmlaLink="Inputblad!$E$24" fmlaRange="Inputblad!$E$27:$E$32" noThreeD="1" sel="0" val="0"/>
</file>

<file path=xl/ctrlProps/ctrlProp8.xml><?xml version="1.0" encoding="utf-8"?>
<formControlPr xmlns="http://schemas.microsoft.com/office/spreadsheetml/2009/9/main" objectType="Drop" dropStyle="combo" dx="22" fmlaLink="Inputblad!$B$24" fmlaRange="Inputblad!$B$27:$B$28" noThreeD="1" sel="0" val="0"/>
</file>

<file path=xl/ctrlProps/ctrlProp9.xml><?xml version="1.0" encoding="utf-8"?>
<formControlPr xmlns="http://schemas.microsoft.com/office/spreadsheetml/2009/9/main" objectType="Drop" dropStyle="combo" dx="22" fmlaLink="Inputblad!$C$24" fmlaRange="Inputblad!$C$27:$C$28" noThreeD="1" sel="0" val="0"/>
</file>

<file path=xl/ctrlProps/ctrlProp10.xml><?xml version="1.0" encoding="utf-8"?>
<formControlPr xmlns="http://schemas.microsoft.com/office/spreadsheetml/2009/9/main" objectType="Drop" dropStyle="combo" dx="22" fmlaLink="Inputblad!$F$24" fmlaRange="Inputblad!$F$27:$F$31" noThreeD="1" sel="0" val="0"/>
</file>

<file path=xl/ctrlProps/ctrlProp11.xml><?xml version="1.0" encoding="utf-8"?>
<formControlPr xmlns="http://schemas.microsoft.com/office/spreadsheetml/2009/9/main" objectType="Drop" dropStyle="combo" dx="22" fmlaLink="Inputblad!$D$35" fmlaRange="Inputblad!$D$38:$D$42" noThreeD="1" sel="0" val="0"/>
</file>

<file path=xl/ctrlProps/ctrlProp12.xml><?xml version="1.0" encoding="utf-8"?>
<formControlPr xmlns="http://schemas.microsoft.com/office/spreadsheetml/2009/9/main" objectType="Drop" dropStyle="combo" dx="22" fmlaLink="Inputblad!$E$35" fmlaRange="Inputblad!$E$38:$E$42" noThreeD="1" sel="0"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22" fmlaLink="Inputblad!$G$3" fmlaRange="Inputblad!$G$6:$G$11" noThreeD="1" sel="0" val="0"/>
</file>

<file path=xl/ctrlProps/ctrlProp15.xml><?xml version="1.0" encoding="utf-8"?>
<formControlPr xmlns="http://schemas.microsoft.com/office/spreadsheetml/2009/9/main" objectType="CheckBox" fmlaLink="$F$3" lockText="1" noThreeD="1"/>
</file>

<file path=xl/ctrlProps/ctrlProp16.xml><?xml version="1.0" encoding="utf-8"?>
<formControlPr xmlns="http://schemas.microsoft.com/office/spreadsheetml/2009/9/main" objectType="CheckBox" fmlaLink="$J$3" lockText="1" noThreeD="1"/>
</file>

<file path=xl/ctrlProps/ctrlProp17.xml><?xml version="1.0" encoding="utf-8"?>
<formControlPr xmlns="http://schemas.microsoft.com/office/spreadsheetml/2009/9/main" objectType="CheckBox" fmlaLink="$H$3" lockText="1" noThreeD="1"/>
</file>

<file path=xl/ctrlProps/ctrlProp18.xml><?xml version="1.0" encoding="utf-8"?>
<formControlPr xmlns="http://schemas.microsoft.com/office/spreadsheetml/2009/9/main" objectType="CheckBox" fmlaLink="$C$3" lockText="1" noThreeD="1"/>
</file>

<file path=xl/ctrlProps/ctrlProp19.xml><?xml version="1.0" encoding="utf-8"?>
<formControlPr xmlns="http://schemas.microsoft.com/office/spreadsheetml/2009/9/main" objectType="CheckBox" fmlaLink="$F$4" lockText="1" noThreeD="1"/>
</file>

<file path=xl/ctrlProps/ctrlProp20.xml><?xml version="1.0" encoding="utf-8"?>
<formControlPr xmlns="http://schemas.microsoft.com/office/spreadsheetml/2009/9/main" objectType="CheckBox" fmlaLink="$J$4" lockText="1" noThreeD="1"/>
</file>

<file path=xl/ctrlProps/ctrlProp21.xml><?xml version="1.0" encoding="utf-8"?>
<formControlPr xmlns="http://schemas.microsoft.com/office/spreadsheetml/2009/9/main" objectType="CheckBox" fmlaLink="$H$4" lockText="1" noThreeD="1"/>
</file>

<file path=xl/ctrlProps/ctrlProp22.xml><?xml version="1.0" encoding="utf-8"?>
<formControlPr xmlns="http://schemas.microsoft.com/office/spreadsheetml/2009/9/main" objectType="CheckBox" fmlaLink="$C$4" lockText="1" noThreeD="1"/>
</file>

<file path=xl/ctrlProps/ctrlProp23.xml><?xml version="1.0" encoding="utf-8"?>
<formControlPr xmlns="http://schemas.microsoft.com/office/spreadsheetml/2009/9/main" objectType="CheckBox" fmlaLink="$F$5" lockText="1" noThreeD="1"/>
</file>

<file path=xl/ctrlProps/ctrlProp24.xml><?xml version="1.0" encoding="utf-8"?>
<formControlPr xmlns="http://schemas.microsoft.com/office/spreadsheetml/2009/9/main" objectType="CheckBox" fmlaLink="$J$5" lockText="1" noThreeD="1"/>
</file>

<file path=xl/ctrlProps/ctrlProp25.xml><?xml version="1.0" encoding="utf-8"?>
<formControlPr xmlns="http://schemas.microsoft.com/office/spreadsheetml/2009/9/main" objectType="CheckBox" fmlaLink="$H$5" lockText="1" noThreeD="1"/>
</file>

<file path=xl/ctrlProps/ctrlProp26.xml><?xml version="1.0" encoding="utf-8"?>
<formControlPr xmlns="http://schemas.microsoft.com/office/spreadsheetml/2009/9/main" objectType="CheckBox" fmlaLink="$C$5" lockText="1" noThreeD="1"/>
</file>

<file path=xl/ctrlProps/ctrlProp27.xml><?xml version="1.0" encoding="utf-8"?>
<formControlPr xmlns="http://schemas.microsoft.com/office/spreadsheetml/2009/9/main" objectType="CheckBox" fmlaLink="$F$6" lockText="1" noThreeD="1"/>
</file>

<file path=xl/ctrlProps/ctrlProp28.xml><?xml version="1.0" encoding="utf-8"?>
<formControlPr xmlns="http://schemas.microsoft.com/office/spreadsheetml/2009/9/main" objectType="CheckBox" fmlaLink="$J$6" lockText="1" noThreeD="1"/>
</file>

<file path=xl/ctrlProps/ctrlProp29.xml><?xml version="1.0" encoding="utf-8"?>
<formControlPr xmlns="http://schemas.microsoft.com/office/spreadsheetml/2009/9/main" objectType="CheckBox" fmlaLink="$H$6" lockText="1" noThreeD="1"/>
</file>

<file path=xl/ctrlProps/ctrlProp30.xml><?xml version="1.0" encoding="utf-8"?>
<formControlPr xmlns="http://schemas.microsoft.com/office/spreadsheetml/2009/9/main" objectType="CheckBox" fmlaLink="$C$6" lockText="1" noThreeD="1"/>
</file>

<file path=xl/ctrlProps/ctrlProp31.xml><?xml version="1.0" encoding="utf-8"?>
<formControlPr xmlns="http://schemas.microsoft.com/office/spreadsheetml/2009/9/main" objectType="CheckBox" fmlaLink="$F$7" lockText="1" noThreeD="1"/>
</file>

<file path=xl/ctrlProps/ctrlProp32.xml><?xml version="1.0" encoding="utf-8"?>
<formControlPr xmlns="http://schemas.microsoft.com/office/spreadsheetml/2009/9/main" objectType="CheckBox" fmlaLink="$J$7" lockText="1" noThreeD="1"/>
</file>

<file path=xl/ctrlProps/ctrlProp33.xml><?xml version="1.0" encoding="utf-8"?>
<formControlPr xmlns="http://schemas.microsoft.com/office/spreadsheetml/2009/9/main" objectType="CheckBox" fmlaLink="$H$7" lockText="1" noThreeD="1"/>
</file>

<file path=xl/ctrlProps/ctrlProp34.xml><?xml version="1.0" encoding="utf-8"?>
<formControlPr xmlns="http://schemas.microsoft.com/office/spreadsheetml/2009/9/main" objectType="CheckBox" fmlaLink="$C$69" lockText="1" noThreeD="1"/>
</file>

<file path=xl/ctrlProps/ctrlProp35.xml><?xml version="1.0" encoding="utf-8"?>
<formControlPr xmlns="http://schemas.microsoft.com/office/spreadsheetml/2009/9/main" objectType="CheckBox" fmlaLink="$F$8" lockText="1" noThreeD="1"/>
</file>

<file path=xl/ctrlProps/ctrlProp36.xml><?xml version="1.0" encoding="utf-8"?>
<formControlPr xmlns="http://schemas.microsoft.com/office/spreadsheetml/2009/9/main" objectType="CheckBox" fmlaLink="$J$8" lockText="1" noThreeD="1"/>
</file>

<file path=xl/ctrlProps/ctrlProp37.xml><?xml version="1.0" encoding="utf-8"?>
<formControlPr xmlns="http://schemas.microsoft.com/office/spreadsheetml/2009/9/main" objectType="CheckBox" fmlaLink="$H$8" lockText="1" noThreeD="1"/>
</file>

<file path=xl/ctrlProps/ctrlProp38.xml><?xml version="1.0" encoding="utf-8"?>
<formControlPr xmlns="http://schemas.microsoft.com/office/spreadsheetml/2009/9/main" objectType="CheckBox" fmlaLink="$C$8" lockText="1" noThreeD="1"/>
</file>

<file path=xl/ctrlProps/ctrlProp39.xml><?xml version="1.0" encoding="utf-8"?>
<formControlPr xmlns="http://schemas.microsoft.com/office/spreadsheetml/2009/9/main" objectType="CheckBox" fmlaLink="$F$9" lockText="1" noThreeD="1"/>
</file>

<file path=xl/ctrlProps/ctrlProp40.xml><?xml version="1.0" encoding="utf-8"?>
<formControlPr xmlns="http://schemas.microsoft.com/office/spreadsheetml/2009/9/main" objectType="CheckBox" fmlaLink="$J$9" lockText="1" noThreeD="1"/>
</file>

<file path=xl/ctrlProps/ctrlProp41.xml><?xml version="1.0" encoding="utf-8"?>
<formControlPr xmlns="http://schemas.microsoft.com/office/spreadsheetml/2009/9/main" objectType="CheckBox" fmlaLink="$H$9" lockText="1" noThreeD="1"/>
</file>

<file path=xl/ctrlProps/ctrlProp42.xml><?xml version="1.0" encoding="utf-8"?>
<formControlPr xmlns="http://schemas.microsoft.com/office/spreadsheetml/2009/9/main" objectType="CheckBox" fmlaLink="$C$9" lockText="1" noThreeD="1"/>
</file>

<file path=xl/ctrlProps/ctrlProp43.xml><?xml version="1.0" encoding="utf-8"?>
<formControlPr xmlns="http://schemas.microsoft.com/office/spreadsheetml/2009/9/main" objectType="CheckBox" fmlaLink="$F$10" lockText="1" noThreeD="1"/>
</file>

<file path=xl/ctrlProps/ctrlProp44.xml><?xml version="1.0" encoding="utf-8"?>
<formControlPr xmlns="http://schemas.microsoft.com/office/spreadsheetml/2009/9/main" objectType="CheckBox" fmlaLink="$J$10" lockText="1" noThreeD="1"/>
</file>

<file path=xl/ctrlProps/ctrlProp45.xml><?xml version="1.0" encoding="utf-8"?>
<formControlPr xmlns="http://schemas.microsoft.com/office/spreadsheetml/2009/9/main" objectType="CheckBox" fmlaLink="$H$103" lockText="1" noThreeD="1"/>
</file>

<file path=xl/ctrlProps/ctrlProp46.xml><?xml version="1.0" encoding="utf-8"?>
<formControlPr xmlns="http://schemas.microsoft.com/office/spreadsheetml/2009/9/main" objectType="CheckBox" fmlaLink="$C$10" lockText="1" noThreeD="1"/>
</file>

<file path=xl/ctrlProps/ctrlProp47.xml><?xml version="1.0" encoding="utf-8"?>
<formControlPr xmlns="http://schemas.microsoft.com/office/spreadsheetml/2009/9/main" objectType="CheckBox" fmlaLink="$F$11" lockText="1" noThreeD="1"/>
</file>

<file path=xl/ctrlProps/ctrlProp48.xml><?xml version="1.0" encoding="utf-8"?>
<formControlPr xmlns="http://schemas.microsoft.com/office/spreadsheetml/2009/9/main" objectType="CheckBox" fmlaLink="$J$11" lockText="1" noThreeD="1"/>
</file>

<file path=xl/ctrlProps/ctrlProp49.xml><?xml version="1.0" encoding="utf-8"?>
<formControlPr xmlns="http://schemas.microsoft.com/office/spreadsheetml/2009/9/main" objectType="CheckBox" fmlaLink="$H$11" lockText="1" noThreeD="1"/>
</file>

<file path=xl/ctrlProps/ctrlProp50.xml><?xml version="1.0" encoding="utf-8"?>
<formControlPr xmlns="http://schemas.microsoft.com/office/spreadsheetml/2009/9/main" objectType="CheckBox" fmlaLink="$C$11" lockText="1" noThreeD="1"/>
</file>

<file path=xl/ctrlProps/ctrlProp51.xml><?xml version="1.0" encoding="utf-8"?>
<formControlPr xmlns="http://schemas.microsoft.com/office/spreadsheetml/2009/9/main" objectType="CheckBox" fmlaLink="$F$12" lockText="1" noThreeD="1"/>
</file>

<file path=xl/ctrlProps/ctrlProp52.xml><?xml version="1.0" encoding="utf-8"?>
<formControlPr xmlns="http://schemas.microsoft.com/office/spreadsheetml/2009/9/main" objectType="CheckBox" fmlaLink="$J$12" lockText="1" noThreeD="1"/>
</file>

<file path=xl/ctrlProps/ctrlProp53.xml><?xml version="1.0" encoding="utf-8"?>
<formControlPr xmlns="http://schemas.microsoft.com/office/spreadsheetml/2009/9/main" objectType="CheckBox" fmlaLink="$H$12" lockText="1" noThreeD="1"/>
</file>

<file path=xl/ctrlProps/ctrlProp54.xml><?xml version="1.0" encoding="utf-8"?>
<formControlPr xmlns="http://schemas.microsoft.com/office/spreadsheetml/2009/9/main" objectType="CheckBox" fmlaLink="$C$12" lockText="1" noThreeD="1"/>
</file>

<file path=xl/ctrlProps/ctrlProp55.xml><?xml version="1.0" encoding="utf-8"?>
<formControlPr xmlns="http://schemas.microsoft.com/office/spreadsheetml/2009/9/main" objectType="CheckBox" fmlaLink="$F$13" lockText="1" noThreeD="1"/>
</file>

<file path=xl/ctrlProps/ctrlProp56.xml><?xml version="1.0" encoding="utf-8"?>
<formControlPr xmlns="http://schemas.microsoft.com/office/spreadsheetml/2009/9/main" objectType="CheckBox" fmlaLink="$J$13" lockText="1" noThreeD="1"/>
</file>

<file path=xl/ctrlProps/ctrlProp57.xml><?xml version="1.0" encoding="utf-8"?>
<formControlPr xmlns="http://schemas.microsoft.com/office/spreadsheetml/2009/9/main" objectType="CheckBox" fmlaLink="$H$13" lockText="1" noThreeD="1"/>
</file>

<file path=xl/ctrlProps/ctrlProp58.xml><?xml version="1.0" encoding="utf-8"?>
<formControlPr xmlns="http://schemas.microsoft.com/office/spreadsheetml/2009/9/main" objectType="CheckBox" fmlaLink="$C$13" lockText="1" noThreeD="1"/>
</file>

<file path=xl/ctrlProps/ctrlProp59.xml><?xml version="1.0" encoding="utf-8"?>
<formControlPr xmlns="http://schemas.microsoft.com/office/spreadsheetml/2009/9/main" objectType="CheckBox" fmlaLink="$F$14" lockText="1" noThreeD="1"/>
</file>

<file path=xl/ctrlProps/ctrlProp60.xml><?xml version="1.0" encoding="utf-8"?>
<formControlPr xmlns="http://schemas.microsoft.com/office/spreadsheetml/2009/9/main" objectType="CheckBox" fmlaLink="$J$14" lockText="1" noThreeD="1"/>
</file>

<file path=xl/ctrlProps/ctrlProp61.xml><?xml version="1.0" encoding="utf-8"?>
<formControlPr xmlns="http://schemas.microsoft.com/office/spreadsheetml/2009/9/main" objectType="CheckBox" fmlaLink="$H$14" lockText="1" noThreeD="1"/>
</file>

<file path=xl/ctrlProps/ctrlProp62.xml><?xml version="1.0" encoding="utf-8"?>
<formControlPr xmlns="http://schemas.microsoft.com/office/spreadsheetml/2009/9/main" objectType="CheckBox" fmlaLink="$C$14" lockText="1" noThreeD="1"/>
</file>

<file path=xl/ctrlProps/ctrlProp63.xml><?xml version="1.0" encoding="utf-8"?>
<formControlPr xmlns="http://schemas.microsoft.com/office/spreadsheetml/2009/9/main" objectType="CheckBox" fmlaLink="$F$15" lockText="1" noThreeD="1"/>
</file>

<file path=xl/ctrlProps/ctrlProp64.xml><?xml version="1.0" encoding="utf-8"?>
<formControlPr xmlns="http://schemas.microsoft.com/office/spreadsheetml/2009/9/main" objectType="CheckBox" fmlaLink="$J$15" lockText="1" noThreeD="1"/>
</file>

<file path=xl/ctrlProps/ctrlProp65.xml><?xml version="1.0" encoding="utf-8"?>
<formControlPr xmlns="http://schemas.microsoft.com/office/spreadsheetml/2009/9/main" objectType="CheckBox" fmlaLink="$H$15" lockText="1" noThreeD="1"/>
</file>

<file path=xl/ctrlProps/ctrlProp66.xml><?xml version="1.0" encoding="utf-8"?>
<formControlPr xmlns="http://schemas.microsoft.com/office/spreadsheetml/2009/9/main" objectType="CheckBox" fmlaLink="$C$15" lockText="1" noThreeD="1"/>
</file>

<file path=xl/ctrlProps/ctrlProp67.xml><?xml version="1.0" encoding="utf-8"?>
<formControlPr xmlns="http://schemas.microsoft.com/office/spreadsheetml/2009/9/main" objectType="Drop" dropStyle="combo" dx="22" fmlaLink="'Checklist Klantvragen'!$B3" fmlaRange="Inputblad!$B$47:$B$49" noThreeD="1" sel="0" val="0"/>
</file>

<file path=xl/ctrlProps/ctrlProp68.xml><?xml version="1.0" encoding="utf-8"?>
<formControlPr xmlns="http://schemas.microsoft.com/office/spreadsheetml/2009/9/main" objectType="Drop" dropStyle="combo" dx="22" fmlaLink="'Checklist Klantvragen'!$B4" fmlaRange="Inputblad!$B$47:$B$49" noThreeD="1" sel="0" val="0"/>
</file>

<file path=xl/ctrlProps/ctrlProp69.xml><?xml version="1.0" encoding="utf-8"?>
<formControlPr xmlns="http://schemas.microsoft.com/office/spreadsheetml/2009/9/main" objectType="Drop" dropStyle="combo" dx="22" fmlaLink="'Checklist Klantvragen'!$B5" fmlaRange="Inputblad!$B$47:$B$49" noThreeD="1" sel="0" val="0"/>
</file>

<file path=xl/ctrlProps/ctrlProp70.xml><?xml version="1.0" encoding="utf-8"?>
<formControlPr xmlns="http://schemas.microsoft.com/office/spreadsheetml/2009/9/main" objectType="Drop" dropStyle="combo" dx="22" fmlaLink="'Checklist Klantvragen'!$B6" fmlaRange="Inputblad!$B$47:$B$49" noThreeD="1" sel="0" val="0"/>
</file>

<file path=xl/ctrlProps/ctrlProp71.xml><?xml version="1.0" encoding="utf-8"?>
<formControlPr xmlns="http://schemas.microsoft.com/office/spreadsheetml/2009/9/main" objectType="Drop" dropStyle="combo" dx="22" fmlaLink="'Checklist Klantvragen'!$B7" fmlaRange="Inputblad!$B$47:$B$49" noThreeD="1" sel="0" val="0"/>
</file>

<file path=xl/ctrlProps/ctrlProp72.xml><?xml version="1.0" encoding="utf-8"?>
<formControlPr xmlns="http://schemas.microsoft.com/office/spreadsheetml/2009/9/main" objectType="Drop" dropStyle="combo" dx="22" fmlaLink="'Checklist Klantvragen'!$B8" fmlaRange="Inputblad!$B$47:$B$49" noThreeD="1" sel="0" val="0"/>
</file>

<file path=xl/ctrlProps/ctrlProp73.xml><?xml version="1.0" encoding="utf-8"?>
<formControlPr xmlns="http://schemas.microsoft.com/office/spreadsheetml/2009/9/main" objectType="Drop" dropStyle="combo" dx="22" fmlaLink="'Checklist Klantvragen'!$B9" fmlaRange="Inputblad!$B$47:$B$49" noThreeD="1" sel="0" val="0"/>
</file>

<file path=xl/ctrlProps/ctrlProp74.xml><?xml version="1.0" encoding="utf-8"?>
<formControlPr xmlns="http://schemas.microsoft.com/office/spreadsheetml/2009/9/main" objectType="Drop" dropStyle="combo" dx="22" fmlaLink="'Checklist Klantvragen'!$B10" fmlaRange="Inputblad!$B$47:$B$49" noThreeD="1" sel="0" val="0"/>
</file>

<file path=xl/ctrlProps/ctrlProp75.xml><?xml version="1.0" encoding="utf-8"?>
<formControlPr xmlns="http://schemas.microsoft.com/office/spreadsheetml/2009/9/main" objectType="Drop" dropStyle="combo" dx="22" fmlaLink="'Checklist Klantvragen'!$B11" fmlaRange="Inputblad!$B$47:$B$49" noThreeD="1" sel="0" val="0"/>
</file>

<file path=xl/ctrlProps/ctrlProp76.xml><?xml version="1.0" encoding="utf-8"?>
<formControlPr xmlns="http://schemas.microsoft.com/office/spreadsheetml/2009/9/main" objectType="Drop" dropStyle="combo" dx="22" fmlaLink="'Checklist Klantvragen'!$B12" fmlaRange="Inputblad!$B$47:$B$49" noThreeD="1" sel="0" val="0"/>
</file>

<file path=xl/ctrlProps/ctrlProp77.xml><?xml version="1.0" encoding="utf-8"?>
<formControlPr xmlns="http://schemas.microsoft.com/office/spreadsheetml/2009/9/main" objectType="Drop" dropStyle="combo" dx="22" fmlaLink="'Checklist Klantvragen'!$B13" fmlaRange="Inputblad!$B$47:$B$49" noThreeD="1" sel="0" val="0"/>
</file>

<file path=xl/ctrlProps/ctrlProp78.xml><?xml version="1.0" encoding="utf-8"?>
<formControlPr xmlns="http://schemas.microsoft.com/office/spreadsheetml/2009/9/main" objectType="Drop" dropStyle="combo" dx="22" fmlaLink="'Checklist Klantvragen'!$B14" fmlaRange="Inputblad!$B$47:$B$49" noThreeD="1" sel="0" val="0"/>
</file>

<file path=xl/ctrlProps/ctrlProp79.xml><?xml version="1.0" encoding="utf-8"?>
<formControlPr xmlns="http://schemas.microsoft.com/office/spreadsheetml/2009/9/main" objectType="Drop" dropStyle="combo" dx="22" fmlaLink="'Checklist Klantvragen'!$B15" fmlaRange="Inputblad!$B$47:$B$49" noThreeD="1" sel="0" val="0"/>
</file>

<file path=xl/ctrlProps/ctrlProp80.xml><?xml version="1.0" encoding="utf-8"?>
<formControlPr xmlns="http://schemas.microsoft.com/office/spreadsheetml/2009/9/main" objectType="Drop" dropStyle="combo" dx="22" fmlaLink="'Checklist Regelkast'!$C$6" fmlaRange="Inputblad!$D$27:$D$28" noThreeD="1" sel="1" val="0"/>
</file>

<file path=xl/ctrlProps/ctrlProp81.xml><?xml version="1.0" encoding="utf-8"?>
<formControlPr xmlns="http://schemas.microsoft.com/office/spreadsheetml/2009/9/main" objectType="CheckBox" fmlaLink="$C$8" lockText="1" noThreeD="1"/>
</file>

<file path=xl/ctrlProps/ctrlProp82.xml><?xml version="1.0" encoding="utf-8"?>
<formControlPr xmlns="http://schemas.microsoft.com/office/spreadsheetml/2009/9/main" objectType="CheckBox" fmlaLink="$D$24" lockText="1" noThreeD="1"/>
</file>

<file path=xl/ctrlProps/ctrlProp83.xml><?xml version="1.0" encoding="utf-8"?>
<formControlPr xmlns="http://schemas.microsoft.com/office/spreadsheetml/2009/9/main" objectType="CheckBox" fmlaLink="$H$24" lockText="1" noThreeD="1"/>
</file>

<file path=xl/ctrlProps/ctrlProp84.xml><?xml version="1.0" encoding="utf-8"?>
<formControlPr xmlns="http://schemas.microsoft.com/office/spreadsheetml/2009/9/main" objectType="CheckBox" fmlaLink="$F$24" lockText="1" noThreeD="1"/>
</file>

<file path=xl/ctrlProps/ctrlProp85.xml><?xml version="1.0" encoding="utf-8"?>
<formControlPr xmlns="http://schemas.microsoft.com/office/spreadsheetml/2009/9/main" objectType="CheckBox" fmlaLink="$C$10" lockText="1" noThreeD="1"/>
</file>

<file path=xl/ctrlProps/ctrlProp86.xml><?xml version="1.0" encoding="utf-8"?>
<formControlPr xmlns="http://schemas.microsoft.com/office/spreadsheetml/2009/9/main" objectType="CheckBox" fmlaLink="$D$23" lockText="1" noThreeD="1"/>
</file>

<file path=xl/ctrlProps/ctrlProp87.xml><?xml version="1.0" encoding="utf-8"?>
<formControlPr xmlns="http://schemas.microsoft.com/office/spreadsheetml/2009/9/main" objectType="CheckBox" fmlaLink="$H$24" lockText="1" noThreeD="1"/>
</file>

<file path=xl/ctrlProps/ctrlProp88.xml><?xml version="1.0" encoding="utf-8"?>
<formControlPr xmlns="http://schemas.microsoft.com/office/spreadsheetml/2009/9/main" objectType="CheckBox" fmlaLink="$F$23" lockText="1" noThreeD="1"/>
</file>

<file path=xl/ctrlProps/ctrlProp89.xml><?xml version="1.0" encoding="utf-8"?>
<formControlPr xmlns="http://schemas.microsoft.com/office/spreadsheetml/2009/9/main" objectType="CheckBox" fmlaLink="$D$20" lockText="1" noThreeD="1"/>
</file>

<file path=xl/ctrlProps/ctrlProp90.xml><?xml version="1.0" encoding="utf-8"?>
<formControlPr xmlns="http://schemas.microsoft.com/office/spreadsheetml/2009/9/main" objectType="CheckBox" fmlaLink="$H$20" lockText="1" noThreeD="1"/>
</file>

<file path=xl/ctrlProps/ctrlProp91.xml><?xml version="1.0" encoding="utf-8"?>
<formControlPr xmlns="http://schemas.microsoft.com/office/spreadsheetml/2009/9/main" objectType="CheckBox" checked="Checked" fmlaLink="$F$20" lockText="1" noThreeD="1"/>
</file>

<file path=xl/ctrlProps/ctrlProp92.xml><?xml version="1.0" encoding="utf-8"?>
<formControlPr xmlns="http://schemas.microsoft.com/office/spreadsheetml/2009/9/main" objectType="CheckBox" fmlaLink="$D$21" lockText="1" noThreeD="1"/>
</file>

<file path=xl/ctrlProps/ctrlProp93.xml><?xml version="1.0" encoding="utf-8"?>
<formControlPr xmlns="http://schemas.microsoft.com/office/spreadsheetml/2009/9/main" objectType="CheckBox" fmlaLink="$H$21" lockText="1" noThreeD="1"/>
</file>

<file path=xl/ctrlProps/ctrlProp94.xml><?xml version="1.0" encoding="utf-8"?>
<formControlPr xmlns="http://schemas.microsoft.com/office/spreadsheetml/2009/9/main" objectType="CheckBox" fmlaLink="$F$21" lockText="1" noThreeD="1"/>
</file>

<file path=xl/ctrlProps/ctrlProp95.xml><?xml version="1.0" encoding="utf-8"?>
<formControlPr xmlns="http://schemas.microsoft.com/office/spreadsheetml/2009/9/main" objectType="CheckBox" fmlaLink="$D$22" lockText="1" noThreeD="1"/>
</file>

<file path=xl/ctrlProps/ctrlProp96.xml><?xml version="1.0" encoding="utf-8"?>
<formControlPr xmlns="http://schemas.microsoft.com/office/spreadsheetml/2009/9/main" objectType="CheckBox" fmlaLink="$H$22" lockText="1" noThreeD="1"/>
</file>

<file path=xl/ctrlProps/ctrlProp97.xml><?xml version="1.0" encoding="utf-8"?>
<formControlPr xmlns="http://schemas.microsoft.com/office/spreadsheetml/2009/9/main" objectType="CheckBox" fmlaLink="$F$22" lockText="1" noThreeD="1"/>
</file>

<file path=xl/ctrlProps/ctrlProp98.xml><?xml version="1.0" encoding="utf-8"?>
<formControlPr xmlns="http://schemas.microsoft.com/office/spreadsheetml/2009/9/main" objectType="CheckBox" fmlaLink="$D$25" lockText="1" noThreeD="1"/>
</file>

<file path=xl/ctrlProps/ctrlProp99.xml><?xml version="1.0" encoding="utf-8"?>
<formControlPr xmlns="http://schemas.microsoft.com/office/spreadsheetml/2009/9/main" objectType="CheckBox" fmlaLink="$H$25" lockText="1" noThreeD="1"/>
</file>

<file path=xl/ctrlProps/ctrlProp100.xml><?xml version="1.0" encoding="utf-8"?>
<formControlPr xmlns="http://schemas.microsoft.com/office/spreadsheetml/2009/9/main" objectType="CheckBox" fmlaLink="$F$25" lockText="1" noThreeD="1"/>
</file>

<file path=xl/ctrlProps/ctrlProp101.xml><?xml version="1.0" encoding="utf-8"?>
<formControlPr xmlns="http://schemas.microsoft.com/office/spreadsheetml/2009/9/main" objectType="CheckBox" fmlaLink="$D$26" lockText="1" noThreeD="1"/>
</file>

<file path=xl/ctrlProps/ctrlProp102.xml><?xml version="1.0" encoding="utf-8"?>
<formControlPr xmlns="http://schemas.microsoft.com/office/spreadsheetml/2009/9/main" objectType="CheckBox" fmlaLink="$H$26" lockText="1" noThreeD="1"/>
</file>

<file path=xl/ctrlProps/ctrlProp103.xml><?xml version="1.0" encoding="utf-8"?>
<formControlPr xmlns="http://schemas.microsoft.com/office/spreadsheetml/2009/9/main" objectType="CheckBox" fmlaLink="$F$26" lockText="1" noThreeD="1"/>
</file>

<file path=xl/ctrlProps/ctrlProp104.xml><?xml version="1.0" encoding="utf-8"?>
<formControlPr xmlns="http://schemas.microsoft.com/office/spreadsheetml/2009/9/main" objectType="CheckBox" fmlaLink="$D$29" lockText="1" noThreeD="1"/>
</file>

<file path=xl/ctrlProps/ctrlProp105.xml><?xml version="1.0" encoding="utf-8"?>
<formControlPr xmlns="http://schemas.microsoft.com/office/spreadsheetml/2009/9/main" objectType="CheckBox" fmlaLink="$H$29" lockText="1" noThreeD="1"/>
</file>

<file path=xl/ctrlProps/ctrlProp106.xml><?xml version="1.0" encoding="utf-8"?>
<formControlPr xmlns="http://schemas.microsoft.com/office/spreadsheetml/2009/9/main" objectType="CheckBox" fmlaLink="$F$29" lockText="1" noThreeD="1"/>
</file>

<file path=xl/ctrlProps/ctrlProp107.xml><?xml version="1.0" encoding="utf-8"?>
<formControlPr xmlns="http://schemas.microsoft.com/office/spreadsheetml/2009/9/main" objectType="CheckBox" fmlaLink="$D$30" lockText="1" noThreeD="1"/>
</file>

<file path=xl/ctrlProps/ctrlProp108.xml><?xml version="1.0" encoding="utf-8"?>
<formControlPr xmlns="http://schemas.microsoft.com/office/spreadsheetml/2009/9/main" objectType="CheckBox" fmlaLink="$H$30" lockText="1" noThreeD="1"/>
</file>

<file path=xl/ctrlProps/ctrlProp109.xml><?xml version="1.0" encoding="utf-8"?>
<formControlPr xmlns="http://schemas.microsoft.com/office/spreadsheetml/2009/9/main" objectType="CheckBox" fmlaLink="$F$30" lockText="1" noThreeD="1"/>
</file>

<file path=xl/ctrlProps/ctrlProp110.xml><?xml version="1.0" encoding="utf-8"?>
<formControlPr xmlns="http://schemas.microsoft.com/office/spreadsheetml/2009/9/main" objectType="CheckBox" fmlaLink="$D$31" lockText="1" noThreeD="1"/>
</file>

<file path=xl/ctrlProps/ctrlProp111.xml><?xml version="1.0" encoding="utf-8"?>
<formControlPr xmlns="http://schemas.microsoft.com/office/spreadsheetml/2009/9/main" objectType="CheckBox" fmlaLink="$H$31" lockText="1" noThreeD="1"/>
</file>

<file path=xl/ctrlProps/ctrlProp112.xml><?xml version="1.0" encoding="utf-8"?>
<formControlPr xmlns="http://schemas.microsoft.com/office/spreadsheetml/2009/9/main" objectType="CheckBox" fmlaLink="$F$31" lockText="1" noThreeD="1"/>
</file>

<file path=xl/ctrlProps/ctrlProp113.xml><?xml version="1.0" encoding="utf-8"?>
<formControlPr xmlns="http://schemas.microsoft.com/office/spreadsheetml/2009/9/main" objectType="CheckBox" fmlaLink="$D$32" lockText="1" noThreeD="1"/>
</file>

<file path=xl/ctrlProps/ctrlProp114.xml><?xml version="1.0" encoding="utf-8"?>
<formControlPr xmlns="http://schemas.microsoft.com/office/spreadsheetml/2009/9/main" objectType="CheckBox" fmlaLink="$H$32" lockText="1" noThreeD="1"/>
</file>

<file path=xl/ctrlProps/ctrlProp115.xml><?xml version="1.0" encoding="utf-8"?>
<formControlPr xmlns="http://schemas.microsoft.com/office/spreadsheetml/2009/9/main" objectType="CheckBox" fmlaLink="$F$32" lockText="1" noThreeD="1"/>
</file>

<file path=xl/ctrlProps/ctrlProp116.xml><?xml version="1.0" encoding="utf-8"?>
<formControlPr xmlns="http://schemas.microsoft.com/office/spreadsheetml/2009/9/main" objectType="CheckBox" fmlaLink="$D$35" lockText="1" noThreeD="1"/>
</file>

<file path=xl/ctrlProps/ctrlProp117.xml><?xml version="1.0" encoding="utf-8"?>
<formControlPr xmlns="http://schemas.microsoft.com/office/spreadsheetml/2009/9/main" objectType="CheckBox" fmlaLink="$H$35" lockText="1" noThreeD="1"/>
</file>

<file path=xl/ctrlProps/ctrlProp118.xml><?xml version="1.0" encoding="utf-8"?>
<formControlPr xmlns="http://schemas.microsoft.com/office/spreadsheetml/2009/9/main" objectType="CheckBox" fmlaLink="$F$35" lockText="1" noThreeD="1"/>
</file>

<file path=xl/ctrlProps/ctrlProp119.xml><?xml version="1.0" encoding="utf-8"?>
<formControlPr xmlns="http://schemas.microsoft.com/office/spreadsheetml/2009/9/main" objectType="CheckBox" fmlaLink="$D$36" lockText="1" noThreeD="1"/>
</file>

<file path=xl/ctrlProps/ctrlProp120.xml><?xml version="1.0" encoding="utf-8"?>
<formControlPr xmlns="http://schemas.microsoft.com/office/spreadsheetml/2009/9/main" objectType="CheckBox" fmlaLink="$H$36" lockText="1" noThreeD="1"/>
</file>

<file path=xl/ctrlProps/ctrlProp121.xml><?xml version="1.0" encoding="utf-8"?>
<formControlPr xmlns="http://schemas.microsoft.com/office/spreadsheetml/2009/9/main" objectType="CheckBox" fmlaLink="$F$36" lockText="1" noThreeD="1"/>
</file>

<file path=xl/ctrlProps/ctrlProp122.xml><?xml version="1.0" encoding="utf-8"?>
<formControlPr xmlns="http://schemas.microsoft.com/office/spreadsheetml/2009/9/main" objectType="CheckBox" fmlaLink="$D$37" lockText="1" noThreeD="1"/>
</file>

<file path=xl/ctrlProps/ctrlProp123.xml><?xml version="1.0" encoding="utf-8"?>
<formControlPr xmlns="http://schemas.microsoft.com/office/spreadsheetml/2009/9/main" objectType="CheckBox" fmlaLink="$H$37" lockText="1" noThreeD="1"/>
</file>

<file path=xl/ctrlProps/ctrlProp124.xml><?xml version="1.0" encoding="utf-8"?>
<formControlPr xmlns="http://schemas.microsoft.com/office/spreadsheetml/2009/9/main" objectType="CheckBox" fmlaLink="$F$37" lockText="1" noThreeD="1"/>
</file>

<file path=xl/ctrlProps/ctrlProp125.xml><?xml version="1.0" encoding="utf-8"?>
<formControlPr xmlns="http://schemas.microsoft.com/office/spreadsheetml/2009/9/main" objectType="CheckBox" fmlaLink="$D$39" lockText="1" noThreeD="1"/>
</file>

<file path=xl/ctrlProps/ctrlProp126.xml><?xml version="1.0" encoding="utf-8"?>
<formControlPr xmlns="http://schemas.microsoft.com/office/spreadsheetml/2009/9/main" objectType="CheckBox" fmlaLink="$H$39" lockText="1" noThreeD="1"/>
</file>

<file path=xl/ctrlProps/ctrlProp127.xml><?xml version="1.0" encoding="utf-8"?>
<formControlPr xmlns="http://schemas.microsoft.com/office/spreadsheetml/2009/9/main" objectType="CheckBox" fmlaLink="$F$39" lockText="1" noThreeD="1"/>
</file>

<file path=xl/ctrlProps/ctrlProp128.xml><?xml version="1.0" encoding="utf-8"?>
<formControlPr xmlns="http://schemas.microsoft.com/office/spreadsheetml/2009/9/main" objectType="CheckBox" fmlaLink="$D$40" lockText="1" noThreeD="1"/>
</file>

<file path=xl/ctrlProps/ctrlProp129.xml><?xml version="1.0" encoding="utf-8"?>
<formControlPr xmlns="http://schemas.microsoft.com/office/spreadsheetml/2009/9/main" objectType="CheckBox" fmlaLink="$H$40" lockText="1" noThreeD="1"/>
</file>

<file path=xl/ctrlProps/ctrlProp130.xml><?xml version="1.0" encoding="utf-8"?>
<formControlPr xmlns="http://schemas.microsoft.com/office/spreadsheetml/2009/9/main" objectType="CheckBox" fmlaLink="$F$40" lockText="1" noThreeD="1"/>
</file>

<file path=xl/ctrlProps/ctrlProp131.xml><?xml version="1.0" encoding="utf-8"?>
<formControlPr xmlns="http://schemas.microsoft.com/office/spreadsheetml/2009/9/main" objectType="CheckBox" fmlaLink="$D$38" lockText="1" noThreeD="1"/>
</file>

<file path=xl/ctrlProps/ctrlProp132.xml><?xml version="1.0" encoding="utf-8"?>
<formControlPr xmlns="http://schemas.microsoft.com/office/spreadsheetml/2009/9/main" objectType="CheckBox" fmlaLink="$H$38" lockText="1" noThreeD="1"/>
</file>

<file path=xl/ctrlProps/ctrlProp133.xml><?xml version="1.0" encoding="utf-8"?>
<formControlPr xmlns="http://schemas.microsoft.com/office/spreadsheetml/2009/9/main" objectType="CheckBox" fmlaLink="$F$38" lockText="1" noThreeD="1"/>
</file>

<file path=xl/ctrlProps/ctrlProp134.xml><?xml version="1.0" encoding="utf-8"?>
<formControlPr xmlns="http://schemas.microsoft.com/office/spreadsheetml/2009/9/main" objectType="CheckBox" fmlaLink="$C$9" lockText="1" noThreeD="1"/>
</file>

<file path=xl/ctrlProps/ctrlProp135.xml><?xml version="1.0" encoding="utf-8"?>
<formControlPr xmlns="http://schemas.microsoft.com/office/spreadsheetml/2009/9/main" objectType="CheckBox" fmlaLink="$D$41" lockText="1" noThreeD="1"/>
</file>

<file path=xl/ctrlProps/ctrlProp136.xml><?xml version="1.0" encoding="utf-8"?>
<formControlPr xmlns="http://schemas.microsoft.com/office/spreadsheetml/2009/9/main" objectType="CheckBox" fmlaLink="$H$41" lockText="1" noThreeD="1"/>
</file>

<file path=xl/ctrlProps/ctrlProp137.xml><?xml version="1.0" encoding="utf-8"?>
<formControlPr xmlns="http://schemas.microsoft.com/office/spreadsheetml/2009/9/main" objectType="CheckBox" fmlaLink="$F$41" lockText="1" noThreeD="1"/>
</file>

<file path=xl/ctrlProps/ctrlProp138.xml><?xml version="1.0" encoding="utf-8"?>
<formControlPr xmlns="http://schemas.microsoft.com/office/spreadsheetml/2009/9/main" objectType="CheckBox" fmlaLink="$D$42" lockText="1" noThreeD="1"/>
</file>

<file path=xl/ctrlProps/ctrlProp139.xml><?xml version="1.0" encoding="utf-8"?>
<formControlPr xmlns="http://schemas.microsoft.com/office/spreadsheetml/2009/9/main" objectType="CheckBox" fmlaLink="$H$42" lockText="1" noThreeD="1"/>
</file>

<file path=xl/ctrlProps/ctrlProp140.xml><?xml version="1.0" encoding="utf-8"?>
<formControlPr xmlns="http://schemas.microsoft.com/office/spreadsheetml/2009/9/main" objectType="CheckBox" fmlaLink="$F$42" lockText="1" noThreeD="1"/>
</file>

<file path=xl/ctrlProps/ctrlProp141.xml><?xml version="1.0" encoding="utf-8"?>
<formControlPr xmlns="http://schemas.microsoft.com/office/spreadsheetml/2009/9/main" objectType="CheckBox" fmlaLink="$D$43" lockText="1" noThreeD="1"/>
</file>

<file path=xl/ctrlProps/ctrlProp142.xml><?xml version="1.0" encoding="utf-8"?>
<formControlPr xmlns="http://schemas.microsoft.com/office/spreadsheetml/2009/9/main" objectType="CheckBox" fmlaLink="$H$43" lockText="1" noThreeD="1"/>
</file>

<file path=xl/ctrlProps/ctrlProp143.xml><?xml version="1.0" encoding="utf-8"?>
<formControlPr xmlns="http://schemas.microsoft.com/office/spreadsheetml/2009/9/main" objectType="CheckBox" fmlaLink="$F$43" lockText="1" noThreeD="1"/>
</file>

<file path=xl/ctrlProps/ctrlProp144.xml><?xml version="1.0" encoding="utf-8"?>
<formControlPr xmlns="http://schemas.microsoft.com/office/spreadsheetml/2009/9/main" objectType="CheckBox" fmlaLink="$D$44" lockText="1" noThreeD="1"/>
</file>

<file path=xl/ctrlProps/ctrlProp145.xml><?xml version="1.0" encoding="utf-8"?>
<formControlPr xmlns="http://schemas.microsoft.com/office/spreadsheetml/2009/9/main" objectType="CheckBox" fmlaLink="$H$44" lockText="1" noThreeD="1"/>
</file>

<file path=xl/ctrlProps/ctrlProp146.xml><?xml version="1.0" encoding="utf-8"?>
<formControlPr xmlns="http://schemas.microsoft.com/office/spreadsheetml/2009/9/main" objectType="CheckBox" fmlaLink="$F$44" lockText="1" noThreeD="1"/>
</file>

<file path=xl/ctrlProps/ctrlProp147.xml><?xml version="1.0" encoding="utf-8"?>
<formControlPr xmlns="http://schemas.microsoft.com/office/spreadsheetml/2009/9/main" objectType="CheckBox" fmlaLink="$D$47" lockText="1" noThreeD="1"/>
</file>

<file path=xl/ctrlProps/ctrlProp148.xml><?xml version="1.0" encoding="utf-8"?>
<formControlPr xmlns="http://schemas.microsoft.com/office/spreadsheetml/2009/9/main" objectType="CheckBox" fmlaLink="$H$47" lockText="1" noThreeD="1"/>
</file>

<file path=xl/ctrlProps/ctrlProp149.xml><?xml version="1.0" encoding="utf-8"?>
<formControlPr xmlns="http://schemas.microsoft.com/office/spreadsheetml/2009/9/main" objectType="CheckBox" fmlaLink="$F$47" lockText="1" noThreeD="1"/>
</file>

<file path=xl/ctrlProps/ctrlProp150.xml><?xml version="1.0" encoding="utf-8"?>
<formControlPr xmlns="http://schemas.microsoft.com/office/spreadsheetml/2009/9/main" objectType="CheckBox" fmlaLink="$D$49" lockText="1" noThreeD="1"/>
</file>

<file path=xl/ctrlProps/ctrlProp151.xml><?xml version="1.0" encoding="utf-8"?>
<formControlPr xmlns="http://schemas.microsoft.com/office/spreadsheetml/2009/9/main" objectType="CheckBox" fmlaLink="$H$49" lockText="1" noThreeD="1"/>
</file>

<file path=xl/ctrlProps/ctrlProp152.xml><?xml version="1.0" encoding="utf-8"?>
<formControlPr xmlns="http://schemas.microsoft.com/office/spreadsheetml/2009/9/main" objectType="CheckBox" fmlaLink="$F$49" lockText="1" noThreeD="1"/>
</file>

<file path=xl/ctrlProps/ctrlProp153.xml><?xml version="1.0" encoding="utf-8"?>
<formControlPr xmlns="http://schemas.microsoft.com/office/spreadsheetml/2009/9/main" objectType="CheckBox" fmlaLink="$D$50" lockText="1" noThreeD="1"/>
</file>

<file path=xl/ctrlProps/ctrlProp154.xml><?xml version="1.0" encoding="utf-8"?>
<formControlPr xmlns="http://schemas.microsoft.com/office/spreadsheetml/2009/9/main" objectType="CheckBox" fmlaLink="$H$50" lockText="1" noThreeD="1"/>
</file>

<file path=xl/ctrlProps/ctrlProp155.xml><?xml version="1.0" encoding="utf-8"?>
<formControlPr xmlns="http://schemas.microsoft.com/office/spreadsheetml/2009/9/main" objectType="CheckBox" fmlaLink="$F$50" lockText="1" noThreeD="1"/>
</file>

<file path=xl/ctrlProps/ctrlProp156.xml><?xml version="1.0" encoding="utf-8"?>
<formControlPr xmlns="http://schemas.microsoft.com/office/spreadsheetml/2009/9/main" objectType="CheckBox" fmlaLink="$D$51" lockText="1" noThreeD="1"/>
</file>

<file path=xl/ctrlProps/ctrlProp157.xml><?xml version="1.0" encoding="utf-8"?>
<formControlPr xmlns="http://schemas.microsoft.com/office/spreadsheetml/2009/9/main" objectType="CheckBox" fmlaLink="$H$51" lockText="1" noThreeD="1"/>
</file>

<file path=xl/ctrlProps/ctrlProp158.xml><?xml version="1.0" encoding="utf-8"?>
<formControlPr xmlns="http://schemas.microsoft.com/office/spreadsheetml/2009/9/main" objectType="CheckBox" fmlaLink="$F$51" lockText="1" noThreeD="1"/>
</file>

<file path=xl/ctrlProps/ctrlProp159.xml><?xml version="1.0" encoding="utf-8"?>
<formControlPr xmlns="http://schemas.microsoft.com/office/spreadsheetml/2009/9/main" objectType="CheckBox" fmlaLink="$D$55" lockText="1" noThreeD="1"/>
</file>

<file path=xl/ctrlProps/ctrlProp160.xml><?xml version="1.0" encoding="utf-8"?>
<formControlPr xmlns="http://schemas.microsoft.com/office/spreadsheetml/2009/9/main" objectType="CheckBox" fmlaLink="$H$55" lockText="1" noThreeD="1"/>
</file>

<file path=xl/ctrlProps/ctrlProp161.xml><?xml version="1.0" encoding="utf-8"?>
<formControlPr xmlns="http://schemas.microsoft.com/office/spreadsheetml/2009/9/main" objectType="CheckBox" fmlaLink="$F$55" lockText="1" noThreeD="1"/>
</file>

<file path=xl/ctrlProps/ctrlProp162.xml><?xml version="1.0" encoding="utf-8"?>
<formControlPr xmlns="http://schemas.microsoft.com/office/spreadsheetml/2009/9/main" objectType="CheckBox" fmlaLink="$D$56" lockText="1" noThreeD="1"/>
</file>

<file path=xl/ctrlProps/ctrlProp163.xml><?xml version="1.0" encoding="utf-8"?>
<formControlPr xmlns="http://schemas.microsoft.com/office/spreadsheetml/2009/9/main" objectType="CheckBox" fmlaLink="$H$56" lockText="1" noThreeD="1"/>
</file>

<file path=xl/ctrlProps/ctrlProp164.xml><?xml version="1.0" encoding="utf-8"?>
<formControlPr xmlns="http://schemas.microsoft.com/office/spreadsheetml/2009/9/main" objectType="CheckBox" fmlaLink="$F$56" lockText="1" noThreeD="1"/>
</file>

<file path=xl/ctrlProps/ctrlProp165.xml><?xml version="1.0" encoding="utf-8"?>
<formControlPr xmlns="http://schemas.microsoft.com/office/spreadsheetml/2009/9/main" objectType="CheckBox" fmlaLink="$D57" lockText="1" noThreeD="1"/>
</file>

<file path=xl/ctrlProps/ctrlProp166.xml><?xml version="1.0" encoding="utf-8"?>
<formControlPr xmlns="http://schemas.microsoft.com/office/spreadsheetml/2009/9/main" objectType="CheckBox" fmlaLink="$H57" lockText="1" noThreeD="1"/>
</file>

<file path=xl/ctrlProps/ctrlProp167.xml><?xml version="1.0" encoding="utf-8"?>
<formControlPr xmlns="http://schemas.microsoft.com/office/spreadsheetml/2009/9/main" objectType="CheckBox" fmlaLink="$F57" lockText="1" noThreeD="1"/>
</file>

<file path=xl/ctrlProps/ctrlProp168.xml><?xml version="1.0" encoding="utf-8"?>
<formControlPr xmlns="http://schemas.microsoft.com/office/spreadsheetml/2009/9/main" objectType="CheckBox" fmlaLink="$D58" lockText="1" noThreeD="1"/>
</file>

<file path=xl/ctrlProps/ctrlProp169.xml><?xml version="1.0" encoding="utf-8"?>
<formControlPr xmlns="http://schemas.microsoft.com/office/spreadsheetml/2009/9/main" objectType="CheckBox" fmlaLink="$H$58" lockText="1" noThreeD="1"/>
</file>

<file path=xl/ctrlProps/ctrlProp170.xml><?xml version="1.0" encoding="utf-8"?>
<formControlPr xmlns="http://schemas.microsoft.com/office/spreadsheetml/2009/9/main" objectType="CheckBox" fmlaLink="$F$58" lockText="1" noThreeD="1"/>
</file>

<file path=xl/ctrlProps/ctrlProp171.xml><?xml version="1.0" encoding="utf-8"?>
<formControlPr xmlns="http://schemas.microsoft.com/office/spreadsheetml/2009/9/main" objectType="CheckBox" fmlaLink="$D59" lockText="1" noThreeD="1"/>
</file>

<file path=xl/ctrlProps/ctrlProp172.xml><?xml version="1.0" encoding="utf-8"?>
<formControlPr xmlns="http://schemas.microsoft.com/office/spreadsheetml/2009/9/main" objectType="CheckBox" fmlaLink="$H$59" lockText="1" noThreeD="1"/>
</file>

<file path=xl/ctrlProps/ctrlProp173.xml><?xml version="1.0" encoding="utf-8"?>
<formControlPr xmlns="http://schemas.microsoft.com/office/spreadsheetml/2009/9/main" objectType="CheckBox" fmlaLink="$F$59" lockText="1" noThreeD="1"/>
</file>

<file path=xl/ctrlProps/ctrlProp174.xml><?xml version="1.0" encoding="utf-8"?>
<formControlPr xmlns="http://schemas.microsoft.com/office/spreadsheetml/2009/9/main" objectType="CheckBox" fmlaLink="$D60" lockText="1" noThreeD="1"/>
</file>

<file path=xl/ctrlProps/ctrlProp175.xml><?xml version="1.0" encoding="utf-8"?>
<formControlPr xmlns="http://schemas.microsoft.com/office/spreadsheetml/2009/9/main" objectType="CheckBox" fmlaLink="$H$60" lockText="1" noThreeD="1"/>
</file>

<file path=xl/ctrlProps/ctrlProp176.xml><?xml version="1.0" encoding="utf-8"?>
<formControlPr xmlns="http://schemas.microsoft.com/office/spreadsheetml/2009/9/main" objectType="CheckBox" fmlaLink="$F$60" lockText="1" noThreeD="1"/>
</file>

<file path=xl/ctrlProps/ctrlProp177.xml><?xml version="1.0" encoding="utf-8"?>
<formControlPr xmlns="http://schemas.microsoft.com/office/spreadsheetml/2009/9/main" objectType="CheckBox" fmlaLink="$D61" lockText="1" noThreeD="1"/>
</file>

<file path=xl/ctrlProps/ctrlProp178.xml><?xml version="1.0" encoding="utf-8"?>
<formControlPr xmlns="http://schemas.microsoft.com/office/spreadsheetml/2009/9/main" objectType="CheckBox" fmlaLink="$H$61" lockText="1" noThreeD="1"/>
</file>

<file path=xl/ctrlProps/ctrlProp179.xml><?xml version="1.0" encoding="utf-8"?>
<formControlPr xmlns="http://schemas.microsoft.com/office/spreadsheetml/2009/9/main" objectType="CheckBox" fmlaLink="$F$61" lockText="1" noThreeD="1"/>
</file>

<file path=xl/ctrlProps/ctrlProp180.xml><?xml version="1.0" encoding="utf-8"?>
<formControlPr xmlns="http://schemas.microsoft.com/office/spreadsheetml/2009/9/main" objectType="CheckBox" fmlaLink="$D$62" lockText="1" noThreeD="1"/>
</file>

<file path=xl/ctrlProps/ctrlProp181.xml><?xml version="1.0" encoding="utf-8"?>
<formControlPr xmlns="http://schemas.microsoft.com/office/spreadsheetml/2009/9/main" objectType="CheckBox" fmlaLink="$H$62" lockText="1" noThreeD="1"/>
</file>

<file path=xl/ctrlProps/ctrlProp182.xml><?xml version="1.0" encoding="utf-8"?>
<formControlPr xmlns="http://schemas.microsoft.com/office/spreadsheetml/2009/9/main" objectType="CheckBox" fmlaLink="$F$62" lockText="1" noThreeD="1"/>
</file>

<file path=xl/ctrlProps/ctrlProp183.xml><?xml version="1.0" encoding="utf-8"?>
<formControlPr xmlns="http://schemas.microsoft.com/office/spreadsheetml/2009/9/main" objectType="CheckBox" fmlaLink="$D$63" lockText="1" noThreeD="1"/>
</file>

<file path=xl/ctrlProps/ctrlProp184.xml><?xml version="1.0" encoding="utf-8"?>
<formControlPr xmlns="http://schemas.microsoft.com/office/spreadsheetml/2009/9/main" objectType="CheckBox" fmlaLink="$H$63" lockText="1" noThreeD="1"/>
</file>

<file path=xl/ctrlProps/ctrlProp185.xml><?xml version="1.0" encoding="utf-8"?>
<formControlPr xmlns="http://schemas.microsoft.com/office/spreadsheetml/2009/9/main" objectType="CheckBox" fmlaLink="$F$63" lockText="1" noThreeD="1"/>
</file>

<file path=xl/ctrlProps/ctrlProp186.xml><?xml version="1.0" encoding="utf-8"?>
<formControlPr xmlns="http://schemas.microsoft.com/office/spreadsheetml/2009/9/main" objectType="CheckBox" fmlaLink="$D$64" lockText="1" noThreeD="1"/>
</file>

<file path=xl/ctrlProps/ctrlProp187.xml><?xml version="1.0" encoding="utf-8"?>
<formControlPr xmlns="http://schemas.microsoft.com/office/spreadsheetml/2009/9/main" objectType="CheckBox" fmlaLink="$H$64" lockText="1" noThreeD="1"/>
</file>

<file path=xl/ctrlProps/ctrlProp188.xml><?xml version="1.0" encoding="utf-8"?>
<formControlPr xmlns="http://schemas.microsoft.com/office/spreadsheetml/2009/9/main" objectType="CheckBox" fmlaLink="$F$64" lockText="1" noThreeD="1"/>
</file>

<file path=xl/ctrlProps/ctrlProp189.xml><?xml version="1.0" encoding="utf-8"?>
<formControlPr xmlns="http://schemas.microsoft.com/office/spreadsheetml/2009/9/main" objectType="CheckBox" fmlaLink="$D$65" lockText="1" noThreeD="1"/>
</file>

<file path=xl/ctrlProps/ctrlProp190.xml><?xml version="1.0" encoding="utf-8"?>
<formControlPr xmlns="http://schemas.microsoft.com/office/spreadsheetml/2009/9/main" objectType="CheckBox" fmlaLink="$H$65" lockText="1" noThreeD="1"/>
</file>

<file path=xl/ctrlProps/ctrlProp191.xml><?xml version="1.0" encoding="utf-8"?>
<formControlPr xmlns="http://schemas.microsoft.com/office/spreadsheetml/2009/9/main" objectType="CheckBox" fmlaLink="$F$65" lockText="1" noThreeD="1"/>
</file>

<file path=xl/ctrlProps/ctrlProp192.xml><?xml version="1.0" encoding="utf-8"?>
<formControlPr xmlns="http://schemas.microsoft.com/office/spreadsheetml/2009/9/main" objectType="CheckBox" fmlaLink="$D$66" lockText="1" noThreeD="1"/>
</file>

<file path=xl/ctrlProps/ctrlProp193.xml><?xml version="1.0" encoding="utf-8"?>
<formControlPr xmlns="http://schemas.microsoft.com/office/spreadsheetml/2009/9/main" objectType="CheckBox" fmlaLink="$H$66" lockText="1" noThreeD="1"/>
</file>

<file path=xl/ctrlProps/ctrlProp194.xml><?xml version="1.0" encoding="utf-8"?>
<formControlPr xmlns="http://schemas.microsoft.com/office/spreadsheetml/2009/9/main" objectType="CheckBox" fmlaLink="$F$66" lockText="1" noThreeD="1"/>
</file>

<file path=xl/ctrlProps/ctrlProp195.xml><?xml version="1.0" encoding="utf-8"?>
<formControlPr xmlns="http://schemas.microsoft.com/office/spreadsheetml/2009/9/main" objectType="CheckBox" fmlaLink="$D$67" lockText="1" noThreeD="1"/>
</file>

<file path=xl/ctrlProps/ctrlProp196.xml><?xml version="1.0" encoding="utf-8"?>
<formControlPr xmlns="http://schemas.microsoft.com/office/spreadsheetml/2009/9/main" objectType="CheckBox" fmlaLink="$H$67" lockText="1" noThreeD="1"/>
</file>

<file path=xl/ctrlProps/ctrlProp197.xml><?xml version="1.0" encoding="utf-8"?>
<formControlPr xmlns="http://schemas.microsoft.com/office/spreadsheetml/2009/9/main" objectType="CheckBox" fmlaLink="$F$67" lockText="1" noThreeD="1"/>
</file>

<file path=xl/ctrlProps/ctrlProp198.xml><?xml version="1.0" encoding="utf-8"?>
<formControlPr xmlns="http://schemas.microsoft.com/office/spreadsheetml/2009/9/main" objectType="CheckBox" fmlaLink="$D$54" lockText="1" noThreeD="1"/>
</file>

<file path=xl/ctrlProps/ctrlProp199.xml><?xml version="1.0" encoding="utf-8"?>
<formControlPr xmlns="http://schemas.microsoft.com/office/spreadsheetml/2009/9/main" objectType="CheckBox" fmlaLink="$H$54" lockText="1" noThreeD="1"/>
</file>

<file path=xl/ctrlProps/ctrlProp200.xml><?xml version="1.0" encoding="utf-8"?>
<formControlPr xmlns="http://schemas.microsoft.com/office/spreadsheetml/2009/9/main" objectType="CheckBox" fmlaLink="$F$54" lockText="1" noThreeD="1"/>
</file>

<file path=xl/ctrlProps/ctrlProp201.xml><?xml version="1.0" encoding="utf-8"?>
<formControlPr xmlns="http://schemas.microsoft.com/office/spreadsheetml/2009/9/main" objectType="CheckBox" fmlaLink="$D$48" lockText="1" noThreeD="1"/>
</file>

<file path=xl/ctrlProps/ctrlProp202.xml><?xml version="1.0" encoding="utf-8"?>
<formControlPr xmlns="http://schemas.microsoft.com/office/spreadsheetml/2009/9/main" objectType="CheckBox" fmlaLink="$H$48" lockText="1" noThreeD="1"/>
</file>

<file path=xl/ctrlProps/ctrlProp203.xml><?xml version="1.0" encoding="utf-8"?>
<formControlPr xmlns="http://schemas.microsoft.com/office/spreadsheetml/2009/9/main" objectType="CheckBox" fmlaLink="$F$48" lockText="1" noThreeD="1"/>
</file>

<file path=xl/ctrlProps/ctrlProp204.xml><?xml version="1.0" encoding="utf-8"?>
<formControlPr xmlns="http://schemas.microsoft.com/office/spreadsheetml/2009/9/main" objectType="CheckBox" fmlaLink="$D$52" lockText="1" noThreeD="1"/>
</file>

<file path=xl/ctrlProps/ctrlProp205.xml><?xml version="1.0" encoding="utf-8"?>
<formControlPr xmlns="http://schemas.microsoft.com/office/spreadsheetml/2009/9/main" objectType="CheckBox" fmlaLink="$H$52" lockText="1" noThreeD="1"/>
</file>

<file path=xl/ctrlProps/ctrlProp206.xml><?xml version="1.0" encoding="utf-8"?>
<formControlPr xmlns="http://schemas.microsoft.com/office/spreadsheetml/2009/9/main" objectType="CheckBox" fmlaLink="$F$52" lockText="1" noThreeD="1"/>
</file>

<file path=xl/ctrlProps/ctrlProp207.xml><?xml version="1.0" encoding="utf-8"?>
<formControlPr xmlns="http://schemas.microsoft.com/office/spreadsheetml/2009/9/main" objectType="CheckBox" fmlaLink="$D$53" lockText="1" noThreeD="1"/>
</file>

<file path=xl/ctrlProps/ctrlProp208.xml><?xml version="1.0" encoding="utf-8"?>
<formControlPr xmlns="http://schemas.microsoft.com/office/spreadsheetml/2009/9/main" objectType="CheckBox" fmlaLink="$H$53" lockText="1" noThreeD="1"/>
</file>

<file path=xl/ctrlProps/ctrlProp209.xml><?xml version="1.0" encoding="utf-8"?>
<formControlPr xmlns="http://schemas.microsoft.com/office/spreadsheetml/2009/9/main" objectType="CheckBox" fmlaLink="$F$53" lockText="1" noThreeD="1"/>
</file>

<file path=xl/ctrlProps/ctrlProp210.xml><?xml version="1.0" encoding="utf-8"?>
<formControlPr xmlns="http://schemas.microsoft.com/office/spreadsheetml/2009/9/main" objectType="CheckBox" fmlaLink="$D$70" lockText="1" noThreeD="1"/>
</file>

<file path=xl/ctrlProps/ctrlProp211.xml><?xml version="1.0" encoding="utf-8"?>
<formControlPr xmlns="http://schemas.microsoft.com/office/spreadsheetml/2009/9/main" objectType="CheckBox" fmlaLink="$H$70" lockText="1" noThreeD="1"/>
</file>

<file path=xl/ctrlProps/ctrlProp212.xml><?xml version="1.0" encoding="utf-8"?>
<formControlPr xmlns="http://schemas.microsoft.com/office/spreadsheetml/2009/9/main" objectType="CheckBox" fmlaLink="$F$70" lockText="1" noThreeD="1"/>
</file>

<file path=xl/ctrlProps/ctrlProp213.xml><?xml version="1.0" encoding="utf-8"?>
<formControlPr xmlns="http://schemas.microsoft.com/office/spreadsheetml/2009/9/main" objectType="CheckBox" fmlaLink="$D$71" lockText="1" noThreeD="1"/>
</file>

<file path=xl/ctrlProps/ctrlProp214.xml><?xml version="1.0" encoding="utf-8"?>
<formControlPr xmlns="http://schemas.microsoft.com/office/spreadsheetml/2009/9/main" objectType="CheckBox" fmlaLink="$H$71" lockText="1" noThreeD="1"/>
</file>

<file path=xl/ctrlProps/ctrlProp215.xml><?xml version="1.0" encoding="utf-8"?>
<formControlPr xmlns="http://schemas.microsoft.com/office/spreadsheetml/2009/9/main" objectType="CheckBox" fmlaLink="$F$71" lockText="1" noThreeD="1"/>
</file>

<file path=xl/ctrlProps/ctrlProp216.xml><?xml version="1.0" encoding="utf-8"?>
<formControlPr xmlns="http://schemas.microsoft.com/office/spreadsheetml/2009/9/main" objectType="CheckBox" fmlaLink="$D$72" lockText="1" noThreeD="1"/>
</file>

<file path=xl/ctrlProps/ctrlProp217.xml><?xml version="1.0" encoding="utf-8"?>
<formControlPr xmlns="http://schemas.microsoft.com/office/spreadsheetml/2009/9/main" objectType="CheckBox" fmlaLink="$H$72" lockText="1" noThreeD="1"/>
</file>

<file path=xl/ctrlProps/ctrlProp218.xml><?xml version="1.0" encoding="utf-8"?>
<formControlPr xmlns="http://schemas.microsoft.com/office/spreadsheetml/2009/9/main" objectType="CheckBox" fmlaLink="$F$72" lockText="1" noThreeD="1"/>
</file>

<file path=xl/ctrlProps/ctrlProp219.xml><?xml version="1.0" encoding="utf-8"?>
<formControlPr xmlns="http://schemas.microsoft.com/office/spreadsheetml/2009/9/main" objectType="Drop" dropStyle="combo" dx="22" fmlaLink="'Checklist FM-kast'!$C$6" fmlaRange="Inputblad!$D$27:$D$28" noThreeD="1" sel="1" val="0"/>
</file>

<file path=xl/ctrlProps/ctrlProp220.xml><?xml version="1.0" encoding="utf-8"?>
<formControlPr xmlns="http://schemas.microsoft.com/office/spreadsheetml/2009/9/main" objectType="CheckBox" fmlaLink="$C$8" lockText="1" noThreeD="1"/>
</file>

<file path=xl/ctrlProps/ctrlProp221.xml><?xml version="1.0" encoding="utf-8"?>
<formControlPr xmlns="http://schemas.microsoft.com/office/spreadsheetml/2009/9/main" objectType="CheckBox" fmlaLink="$D$24" lockText="1" noThreeD="1"/>
</file>

<file path=xl/ctrlProps/ctrlProp222.xml><?xml version="1.0" encoding="utf-8"?>
<formControlPr xmlns="http://schemas.microsoft.com/office/spreadsheetml/2009/9/main" objectType="CheckBox" fmlaLink="$H$24" lockText="1" noThreeD="1"/>
</file>

<file path=xl/ctrlProps/ctrlProp223.xml><?xml version="1.0" encoding="utf-8"?>
<formControlPr xmlns="http://schemas.microsoft.com/office/spreadsheetml/2009/9/main" objectType="CheckBox" fmlaLink="$F$24" lockText="1" noThreeD="1"/>
</file>

<file path=xl/ctrlProps/ctrlProp224.xml><?xml version="1.0" encoding="utf-8"?>
<formControlPr xmlns="http://schemas.microsoft.com/office/spreadsheetml/2009/9/main" objectType="CheckBox" fmlaLink="$C$10" lockText="1" noThreeD="1"/>
</file>

<file path=xl/ctrlProps/ctrlProp225.xml><?xml version="1.0" encoding="utf-8"?>
<formControlPr xmlns="http://schemas.microsoft.com/office/spreadsheetml/2009/9/main" objectType="CheckBox" fmlaLink="$D$23" lockText="1" noThreeD="1"/>
</file>

<file path=xl/ctrlProps/ctrlProp226.xml><?xml version="1.0" encoding="utf-8"?>
<formControlPr xmlns="http://schemas.microsoft.com/office/spreadsheetml/2009/9/main" objectType="CheckBox" fmlaLink="$H$24" lockText="1" noThreeD="1"/>
</file>

<file path=xl/ctrlProps/ctrlProp227.xml><?xml version="1.0" encoding="utf-8"?>
<formControlPr xmlns="http://schemas.microsoft.com/office/spreadsheetml/2009/9/main" objectType="CheckBox" fmlaLink="$F$23" lockText="1" noThreeD="1"/>
</file>

<file path=xl/ctrlProps/ctrlProp228.xml><?xml version="1.0" encoding="utf-8"?>
<formControlPr xmlns="http://schemas.microsoft.com/office/spreadsheetml/2009/9/main" objectType="CheckBox" fmlaLink="$D$20" lockText="1" noThreeD="1"/>
</file>

<file path=xl/ctrlProps/ctrlProp229.xml><?xml version="1.0" encoding="utf-8"?>
<formControlPr xmlns="http://schemas.microsoft.com/office/spreadsheetml/2009/9/main" objectType="CheckBox" fmlaLink="$H$20" lockText="1" noThreeD="1"/>
</file>

<file path=xl/ctrlProps/ctrlProp230.xml><?xml version="1.0" encoding="utf-8"?>
<formControlPr xmlns="http://schemas.microsoft.com/office/spreadsheetml/2009/9/main" objectType="CheckBox" fmlaLink="$F$20" lockText="1" noThreeD="1"/>
</file>

<file path=xl/ctrlProps/ctrlProp231.xml><?xml version="1.0" encoding="utf-8"?>
<formControlPr xmlns="http://schemas.microsoft.com/office/spreadsheetml/2009/9/main" objectType="CheckBox" fmlaLink="$D$21" lockText="1" noThreeD="1"/>
</file>

<file path=xl/ctrlProps/ctrlProp232.xml><?xml version="1.0" encoding="utf-8"?>
<formControlPr xmlns="http://schemas.microsoft.com/office/spreadsheetml/2009/9/main" objectType="CheckBox" fmlaLink="$H$21" lockText="1" noThreeD="1"/>
</file>

<file path=xl/ctrlProps/ctrlProp233.xml><?xml version="1.0" encoding="utf-8"?>
<formControlPr xmlns="http://schemas.microsoft.com/office/spreadsheetml/2009/9/main" objectType="CheckBox" fmlaLink="$F$21" lockText="1" noThreeD="1"/>
</file>

<file path=xl/ctrlProps/ctrlProp234.xml><?xml version="1.0" encoding="utf-8"?>
<formControlPr xmlns="http://schemas.microsoft.com/office/spreadsheetml/2009/9/main" objectType="CheckBox" fmlaLink="$D$22" lockText="1" noThreeD="1"/>
</file>

<file path=xl/ctrlProps/ctrlProp235.xml><?xml version="1.0" encoding="utf-8"?>
<formControlPr xmlns="http://schemas.microsoft.com/office/spreadsheetml/2009/9/main" objectType="CheckBox" fmlaLink="$H$22" lockText="1" noThreeD="1"/>
</file>

<file path=xl/ctrlProps/ctrlProp236.xml><?xml version="1.0" encoding="utf-8"?>
<formControlPr xmlns="http://schemas.microsoft.com/office/spreadsheetml/2009/9/main" objectType="CheckBox" fmlaLink="$F$22" lockText="1" noThreeD="1"/>
</file>

<file path=xl/ctrlProps/ctrlProp237.xml><?xml version="1.0" encoding="utf-8"?>
<formControlPr xmlns="http://schemas.microsoft.com/office/spreadsheetml/2009/9/main" objectType="CheckBox" fmlaLink="$D$25" lockText="1" noThreeD="1"/>
</file>

<file path=xl/ctrlProps/ctrlProp238.xml><?xml version="1.0" encoding="utf-8"?>
<formControlPr xmlns="http://schemas.microsoft.com/office/spreadsheetml/2009/9/main" objectType="CheckBox" fmlaLink="$H$25" lockText="1" noThreeD="1"/>
</file>

<file path=xl/ctrlProps/ctrlProp239.xml><?xml version="1.0" encoding="utf-8"?>
<formControlPr xmlns="http://schemas.microsoft.com/office/spreadsheetml/2009/9/main" objectType="CheckBox" fmlaLink="$F$25" lockText="1" noThreeD="1"/>
</file>

<file path=xl/ctrlProps/ctrlProp240.xml><?xml version="1.0" encoding="utf-8"?>
<formControlPr xmlns="http://schemas.microsoft.com/office/spreadsheetml/2009/9/main" objectType="CheckBox" fmlaLink="$D$26" lockText="1" noThreeD="1"/>
</file>

<file path=xl/ctrlProps/ctrlProp241.xml><?xml version="1.0" encoding="utf-8"?>
<formControlPr xmlns="http://schemas.microsoft.com/office/spreadsheetml/2009/9/main" objectType="CheckBox" fmlaLink="$H$26" lockText="1" noThreeD="1"/>
</file>

<file path=xl/ctrlProps/ctrlProp242.xml><?xml version="1.0" encoding="utf-8"?>
<formControlPr xmlns="http://schemas.microsoft.com/office/spreadsheetml/2009/9/main" objectType="CheckBox" fmlaLink="$F$26" lockText="1" noThreeD="1"/>
</file>

<file path=xl/ctrlProps/ctrlProp243.xml><?xml version="1.0" encoding="utf-8"?>
<formControlPr xmlns="http://schemas.microsoft.com/office/spreadsheetml/2009/9/main" objectType="CheckBox" fmlaLink="$D$29" lockText="1" noThreeD="1"/>
</file>

<file path=xl/ctrlProps/ctrlProp244.xml><?xml version="1.0" encoding="utf-8"?>
<formControlPr xmlns="http://schemas.microsoft.com/office/spreadsheetml/2009/9/main" objectType="CheckBox" fmlaLink="$H$29" lockText="1" noThreeD="1"/>
</file>

<file path=xl/ctrlProps/ctrlProp245.xml><?xml version="1.0" encoding="utf-8"?>
<formControlPr xmlns="http://schemas.microsoft.com/office/spreadsheetml/2009/9/main" objectType="CheckBox" fmlaLink="$F$29" lockText="1" noThreeD="1"/>
</file>

<file path=xl/ctrlProps/ctrlProp246.xml><?xml version="1.0" encoding="utf-8"?>
<formControlPr xmlns="http://schemas.microsoft.com/office/spreadsheetml/2009/9/main" objectType="CheckBox" fmlaLink="$D$30" lockText="1" noThreeD="1"/>
</file>

<file path=xl/ctrlProps/ctrlProp247.xml><?xml version="1.0" encoding="utf-8"?>
<formControlPr xmlns="http://schemas.microsoft.com/office/spreadsheetml/2009/9/main" objectType="CheckBox" fmlaLink="$H$30" lockText="1" noThreeD="1"/>
</file>

<file path=xl/ctrlProps/ctrlProp248.xml><?xml version="1.0" encoding="utf-8"?>
<formControlPr xmlns="http://schemas.microsoft.com/office/spreadsheetml/2009/9/main" objectType="CheckBox" fmlaLink="$F$30" lockText="1" noThreeD="1"/>
</file>

<file path=xl/ctrlProps/ctrlProp249.xml><?xml version="1.0" encoding="utf-8"?>
<formControlPr xmlns="http://schemas.microsoft.com/office/spreadsheetml/2009/9/main" objectType="CheckBox" fmlaLink="$D$31" lockText="1" noThreeD="1"/>
</file>

<file path=xl/ctrlProps/ctrlProp250.xml><?xml version="1.0" encoding="utf-8"?>
<formControlPr xmlns="http://schemas.microsoft.com/office/spreadsheetml/2009/9/main" objectType="CheckBox" fmlaLink="$H$31" lockText="1" noThreeD="1"/>
</file>

<file path=xl/ctrlProps/ctrlProp251.xml><?xml version="1.0" encoding="utf-8"?>
<formControlPr xmlns="http://schemas.microsoft.com/office/spreadsheetml/2009/9/main" objectType="CheckBox" fmlaLink="$F$31" lockText="1" noThreeD="1"/>
</file>

<file path=xl/ctrlProps/ctrlProp252.xml><?xml version="1.0" encoding="utf-8"?>
<formControlPr xmlns="http://schemas.microsoft.com/office/spreadsheetml/2009/9/main" objectType="CheckBox" fmlaLink="$D$32" lockText="1" noThreeD="1"/>
</file>

<file path=xl/ctrlProps/ctrlProp253.xml><?xml version="1.0" encoding="utf-8"?>
<formControlPr xmlns="http://schemas.microsoft.com/office/spreadsheetml/2009/9/main" objectType="CheckBox" fmlaLink="$H$32" lockText="1" noThreeD="1"/>
</file>

<file path=xl/ctrlProps/ctrlProp254.xml><?xml version="1.0" encoding="utf-8"?>
<formControlPr xmlns="http://schemas.microsoft.com/office/spreadsheetml/2009/9/main" objectType="CheckBox" fmlaLink="$F$32" lockText="1" noThreeD="1"/>
</file>

<file path=xl/ctrlProps/ctrlProp255.xml><?xml version="1.0" encoding="utf-8"?>
<formControlPr xmlns="http://schemas.microsoft.com/office/spreadsheetml/2009/9/main" objectType="CheckBox" fmlaLink="$D$35" lockText="1" noThreeD="1"/>
</file>

<file path=xl/ctrlProps/ctrlProp256.xml><?xml version="1.0" encoding="utf-8"?>
<formControlPr xmlns="http://schemas.microsoft.com/office/spreadsheetml/2009/9/main" objectType="CheckBox" fmlaLink="$H$35" lockText="1" noThreeD="1"/>
</file>

<file path=xl/ctrlProps/ctrlProp257.xml><?xml version="1.0" encoding="utf-8"?>
<formControlPr xmlns="http://schemas.microsoft.com/office/spreadsheetml/2009/9/main" objectType="CheckBox" fmlaLink="$F$35" lockText="1" noThreeD="1"/>
</file>

<file path=xl/ctrlProps/ctrlProp258.xml><?xml version="1.0" encoding="utf-8"?>
<formControlPr xmlns="http://schemas.microsoft.com/office/spreadsheetml/2009/9/main" objectType="CheckBox" fmlaLink="$D$36" lockText="1" noThreeD="1"/>
</file>

<file path=xl/ctrlProps/ctrlProp259.xml><?xml version="1.0" encoding="utf-8"?>
<formControlPr xmlns="http://schemas.microsoft.com/office/spreadsheetml/2009/9/main" objectType="CheckBox" fmlaLink="$H$36" lockText="1" noThreeD="1"/>
</file>

<file path=xl/ctrlProps/ctrlProp260.xml><?xml version="1.0" encoding="utf-8"?>
<formControlPr xmlns="http://schemas.microsoft.com/office/spreadsheetml/2009/9/main" objectType="CheckBox" fmlaLink="$F$36" lockText="1" noThreeD="1"/>
</file>

<file path=xl/ctrlProps/ctrlProp261.xml><?xml version="1.0" encoding="utf-8"?>
<formControlPr xmlns="http://schemas.microsoft.com/office/spreadsheetml/2009/9/main" objectType="CheckBox" fmlaLink="$D$37" lockText="1" noThreeD="1"/>
</file>

<file path=xl/ctrlProps/ctrlProp262.xml><?xml version="1.0" encoding="utf-8"?>
<formControlPr xmlns="http://schemas.microsoft.com/office/spreadsheetml/2009/9/main" objectType="CheckBox" fmlaLink="$H$37" lockText="1" noThreeD="1"/>
</file>

<file path=xl/ctrlProps/ctrlProp263.xml><?xml version="1.0" encoding="utf-8"?>
<formControlPr xmlns="http://schemas.microsoft.com/office/spreadsheetml/2009/9/main" objectType="CheckBox" fmlaLink="$F$37" lockText="1" noThreeD="1"/>
</file>

<file path=xl/ctrlProps/ctrlProp264.xml><?xml version="1.0" encoding="utf-8"?>
<formControlPr xmlns="http://schemas.microsoft.com/office/spreadsheetml/2009/9/main" objectType="CheckBox" fmlaLink="$D$39" lockText="1" noThreeD="1"/>
</file>

<file path=xl/ctrlProps/ctrlProp265.xml><?xml version="1.0" encoding="utf-8"?>
<formControlPr xmlns="http://schemas.microsoft.com/office/spreadsheetml/2009/9/main" objectType="CheckBox" fmlaLink="$H$39" lockText="1" noThreeD="1"/>
</file>

<file path=xl/ctrlProps/ctrlProp266.xml><?xml version="1.0" encoding="utf-8"?>
<formControlPr xmlns="http://schemas.microsoft.com/office/spreadsheetml/2009/9/main" objectType="CheckBox" fmlaLink="$F$39" lockText="1" noThreeD="1"/>
</file>

<file path=xl/ctrlProps/ctrlProp267.xml><?xml version="1.0" encoding="utf-8"?>
<formControlPr xmlns="http://schemas.microsoft.com/office/spreadsheetml/2009/9/main" objectType="CheckBox" fmlaLink="$D$40" lockText="1" noThreeD="1"/>
</file>

<file path=xl/ctrlProps/ctrlProp268.xml><?xml version="1.0" encoding="utf-8"?>
<formControlPr xmlns="http://schemas.microsoft.com/office/spreadsheetml/2009/9/main" objectType="CheckBox" fmlaLink="$H$40" lockText="1" noThreeD="1"/>
</file>

<file path=xl/ctrlProps/ctrlProp269.xml><?xml version="1.0" encoding="utf-8"?>
<formControlPr xmlns="http://schemas.microsoft.com/office/spreadsheetml/2009/9/main" objectType="CheckBox" fmlaLink="$F$40" lockText="1" noThreeD="1"/>
</file>

<file path=xl/ctrlProps/ctrlProp270.xml><?xml version="1.0" encoding="utf-8"?>
<formControlPr xmlns="http://schemas.microsoft.com/office/spreadsheetml/2009/9/main" objectType="CheckBox" fmlaLink="$D$38" lockText="1" noThreeD="1"/>
</file>

<file path=xl/ctrlProps/ctrlProp271.xml><?xml version="1.0" encoding="utf-8"?>
<formControlPr xmlns="http://schemas.microsoft.com/office/spreadsheetml/2009/9/main" objectType="CheckBox" fmlaLink="$H$38" lockText="1" noThreeD="1"/>
</file>

<file path=xl/ctrlProps/ctrlProp272.xml><?xml version="1.0" encoding="utf-8"?>
<formControlPr xmlns="http://schemas.microsoft.com/office/spreadsheetml/2009/9/main" objectType="CheckBox" fmlaLink="$F$38" lockText="1" noThreeD="1"/>
</file>

<file path=xl/ctrlProps/ctrlProp273.xml><?xml version="1.0" encoding="utf-8"?>
<formControlPr xmlns="http://schemas.microsoft.com/office/spreadsheetml/2009/9/main" objectType="CheckBox" fmlaLink="$C$9" lockText="1" noThreeD="1"/>
</file>

<file path=xl/ctrlProps/ctrlProp274.xml><?xml version="1.0" encoding="utf-8"?>
<formControlPr xmlns="http://schemas.microsoft.com/office/spreadsheetml/2009/9/main" objectType="CheckBox" fmlaLink="$D$41" lockText="1" noThreeD="1"/>
</file>

<file path=xl/ctrlProps/ctrlProp275.xml><?xml version="1.0" encoding="utf-8"?>
<formControlPr xmlns="http://schemas.microsoft.com/office/spreadsheetml/2009/9/main" objectType="CheckBox" fmlaLink="$H$41" lockText="1" noThreeD="1"/>
</file>

<file path=xl/ctrlProps/ctrlProp276.xml><?xml version="1.0" encoding="utf-8"?>
<formControlPr xmlns="http://schemas.microsoft.com/office/spreadsheetml/2009/9/main" objectType="CheckBox" fmlaLink="$F$41" lockText="1" noThreeD="1"/>
</file>

<file path=xl/ctrlProps/ctrlProp277.xml><?xml version="1.0" encoding="utf-8"?>
<formControlPr xmlns="http://schemas.microsoft.com/office/spreadsheetml/2009/9/main" objectType="CheckBox" fmlaLink="$D$42" lockText="1" noThreeD="1"/>
</file>

<file path=xl/ctrlProps/ctrlProp278.xml><?xml version="1.0" encoding="utf-8"?>
<formControlPr xmlns="http://schemas.microsoft.com/office/spreadsheetml/2009/9/main" objectType="CheckBox" fmlaLink="$H$42" lockText="1" noThreeD="1"/>
</file>

<file path=xl/ctrlProps/ctrlProp279.xml><?xml version="1.0" encoding="utf-8"?>
<formControlPr xmlns="http://schemas.microsoft.com/office/spreadsheetml/2009/9/main" objectType="CheckBox" fmlaLink="$F$42" lockText="1" noThreeD="1"/>
</file>

<file path=xl/ctrlProps/ctrlProp280.xml><?xml version="1.0" encoding="utf-8"?>
<formControlPr xmlns="http://schemas.microsoft.com/office/spreadsheetml/2009/9/main" objectType="CheckBox" fmlaLink="$D$43" lockText="1" noThreeD="1"/>
</file>

<file path=xl/ctrlProps/ctrlProp281.xml><?xml version="1.0" encoding="utf-8"?>
<formControlPr xmlns="http://schemas.microsoft.com/office/spreadsheetml/2009/9/main" objectType="CheckBox" fmlaLink="$H$43" lockText="1" noThreeD="1"/>
</file>

<file path=xl/ctrlProps/ctrlProp282.xml><?xml version="1.0" encoding="utf-8"?>
<formControlPr xmlns="http://schemas.microsoft.com/office/spreadsheetml/2009/9/main" objectType="CheckBox" fmlaLink="$F$43" lockText="1" noThreeD="1"/>
</file>

<file path=xl/ctrlProps/ctrlProp283.xml><?xml version="1.0" encoding="utf-8"?>
<formControlPr xmlns="http://schemas.microsoft.com/office/spreadsheetml/2009/9/main" objectType="CheckBox" fmlaLink="$D$44" lockText="1" noThreeD="1"/>
</file>

<file path=xl/ctrlProps/ctrlProp284.xml><?xml version="1.0" encoding="utf-8"?>
<formControlPr xmlns="http://schemas.microsoft.com/office/spreadsheetml/2009/9/main" objectType="CheckBox" fmlaLink="$H$44" lockText="1" noThreeD="1"/>
</file>

<file path=xl/ctrlProps/ctrlProp285.xml><?xml version="1.0" encoding="utf-8"?>
<formControlPr xmlns="http://schemas.microsoft.com/office/spreadsheetml/2009/9/main" objectType="CheckBox" fmlaLink="$F$44" lockText="1" noThreeD="1"/>
</file>

<file path=xl/ctrlProps/ctrlProp286.xml><?xml version="1.0" encoding="utf-8"?>
<formControlPr xmlns="http://schemas.microsoft.com/office/spreadsheetml/2009/9/main" objectType="CheckBox" fmlaLink="$D$47" lockText="1" noThreeD="1"/>
</file>

<file path=xl/ctrlProps/ctrlProp287.xml><?xml version="1.0" encoding="utf-8"?>
<formControlPr xmlns="http://schemas.microsoft.com/office/spreadsheetml/2009/9/main" objectType="CheckBox" fmlaLink="$H$47" lockText="1" noThreeD="1"/>
</file>

<file path=xl/ctrlProps/ctrlProp288.xml><?xml version="1.0" encoding="utf-8"?>
<formControlPr xmlns="http://schemas.microsoft.com/office/spreadsheetml/2009/9/main" objectType="CheckBox" fmlaLink="$F$47" lockText="1" noThreeD="1"/>
</file>

<file path=xl/ctrlProps/ctrlProp289.xml><?xml version="1.0" encoding="utf-8"?>
<formControlPr xmlns="http://schemas.microsoft.com/office/spreadsheetml/2009/9/main" objectType="CheckBox" fmlaLink="$D$49" lockText="1" noThreeD="1"/>
</file>

<file path=xl/ctrlProps/ctrlProp290.xml><?xml version="1.0" encoding="utf-8"?>
<formControlPr xmlns="http://schemas.microsoft.com/office/spreadsheetml/2009/9/main" objectType="CheckBox" fmlaLink="$H$49" lockText="1" noThreeD="1"/>
</file>

<file path=xl/ctrlProps/ctrlProp291.xml><?xml version="1.0" encoding="utf-8"?>
<formControlPr xmlns="http://schemas.microsoft.com/office/spreadsheetml/2009/9/main" objectType="CheckBox" fmlaLink="$F$49" lockText="1" noThreeD="1"/>
</file>

<file path=xl/ctrlProps/ctrlProp292.xml><?xml version="1.0" encoding="utf-8"?>
<formControlPr xmlns="http://schemas.microsoft.com/office/spreadsheetml/2009/9/main" objectType="CheckBox" fmlaLink="$D$50" lockText="1" noThreeD="1"/>
</file>

<file path=xl/ctrlProps/ctrlProp293.xml><?xml version="1.0" encoding="utf-8"?>
<formControlPr xmlns="http://schemas.microsoft.com/office/spreadsheetml/2009/9/main" objectType="CheckBox" fmlaLink="$H$50" lockText="1" noThreeD="1"/>
</file>

<file path=xl/ctrlProps/ctrlProp294.xml><?xml version="1.0" encoding="utf-8"?>
<formControlPr xmlns="http://schemas.microsoft.com/office/spreadsheetml/2009/9/main" objectType="CheckBox" fmlaLink="$F$50" lockText="1" noThreeD="1"/>
</file>

<file path=xl/ctrlProps/ctrlProp295.xml><?xml version="1.0" encoding="utf-8"?>
<formControlPr xmlns="http://schemas.microsoft.com/office/spreadsheetml/2009/9/main" objectType="CheckBox" fmlaLink="$D$51" lockText="1" noThreeD="1"/>
</file>

<file path=xl/ctrlProps/ctrlProp296.xml><?xml version="1.0" encoding="utf-8"?>
<formControlPr xmlns="http://schemas.microsoft.com/office/spreadsheetml/2009/9/main" objectType="CheckBox" fmlaLink="$H$51" lockText="1" noThreeD="1"/>
</file>

<file path=xl/ctrlProps/ctrlProp297.xml><?xml version="1.0" encoding="utf-8"?>
<formControlPr xmlns="http://schemas.microsoft.com/office/spreadsheetml/2009/9/main" objectType="CheckBox" fmlaLink="$F$51" lockText="1" noThreeD="1"/>
</file>

<file path=xl/ctrlProps/ctrlProp298.xml><?xml version="1.0" encoding="utf-8"?>
<formControlPr xmlns="http://schemas.microsoft.com/office/spreadsheetml/2009/9/main" objectType="CheckBox" fmlaLink="$D$55" lockText="1" noThreeD="1"/>
</file>

<file path=xl/ctrlProps/ctrlProp299.xml><?xml version="1.0" encoding="utf-8"?>
<formControlPr xmlns="http://schemas.microsoft.com/office/spreadsheetml/2009/9/main" objectType="CheckBox" fmlaLink="$H$55" lockText="1" noThreeD="1"/>
</file>

<file path=xl/ctrlProps/ctrlProp300.xml><?xml version="1.0" encoding="utf-8"?>
<formControlPr xmlns="http://schemas.microsoft.com/office/spreadsheetml/2009/9/main" objectType="CheckBox" fmlaLink="$F$55" lockText="1" noThreeD="1"/>
</file>

<file path=xl/ctrlProps/ctrlProp301.xml><?xml version="1.0" encoding="utf-8"?>
<formControlPr xmlns="http://schemas.microsoft.com/office/spreadsheetml/2009/9/main" objectType="CheckBox" fmlaLink="$D$56" lockText="1" noThreeD="1"/>
</file>

<file path=xl/ctrlProps/ctrlProp302.xml><?xml version="1.0" encoding="utf-8"?>
<formControlPr xmlns="http://schemas.microsoft.com/office/spreadsheetml/2009/9/main" objectType="CheckBox" fmlaLink="$H$56" lockText="1" noThreeD="1"/>
</file>

<file path=xl/ctrlProps/ctrlProp303.xml><?xml version="1.0" encoding="utf-8"?>
<formControlPr xmlns="http://schemas.microsoft.com/office/spreadsheetml/2009/9/main" objectType="CheckBox" fmlaLink="$F$56" lockText="1" noThreeD="1"/>
</file>

<file path=xl/ctrlProps/ctrlProp304.xml><?xml version="1.0" encoding="utf-8"?>
<formControlPr xmlns="http://schemas.microsoft.com/office/spreadsheetml/2009/9/main" objectType="CheckBox" fmlaLink="$D57" lockText="1" noThreeD="1"/>
</file>

<file path=xl/ctrlProps/ctrlProp305.xml><?xml version="1.0" encoding="utf-8"?>
<formControlPr xmlns="http://schemas.microsoft.com/office/spreadsheetml/2009/9/main" objectType="CheckBox" fmlaLink="$H57" lockText="1" noThreeD="1"/>
</file>

<file path=xl/ctrlProps/ctrlProp306.xml><?xml version="1.0" encoding="utf-8"?>
<formControlPr xmlns="http://schemas.microsoft.com/office/spreadsheetml/2009/9/main" objectType="CheckBox" fmlaLink="$F57" lockText="1" noThreeD="1"/>
</file>

<file path=xl/ctrlProps/ctrlProp307.xml><?xml version="1.0" encoding="utf-8"?>
<formControlPr xmlns="http://schemas.microsoft.com/office/spreadsheetml/2009/9/main" objectType="CheckBox" fmlaLink="$D58" lockText="1" noThreeD="1"/>
</file>

<file path=xl/ctrlProps/ctrlProp308.xml><?xml version="1.0" encoding="utf-8"?>
<formControlPr xmlns="http://schemas.microsoft.com/office/spreadsheetml/2009/9/main" objectType="CheckBox" fmlaLink="$H$58" lockText="1" noThreeD="1"/>
</file>

<file path=xl/ctrlProps/ctrlProp309.xml><?xml version="1.0" encoding="utf-8"?>
<formControlPr xmlns="http://schemas.microsoft.com/office/spreadsheetml/2009/9/main" objectType="CheckBox" fmlaLink="$F$58" lockText="1" noThreeD="1"/>
</file>

<file path=xl/ctrlProps/ctrlProp310.xml><?xml version="1.0" encoding="utf-8"?>
<formControlPr xmlns="http://schemas.microsoft.com/office/spreadsheetml/2009/9/main" objectType="CheckBox" fmlaLink="$D59" lockText="1" noThreeD="1"/>
</file>

<file path=xl/ctrlProps/ctrlProp311.xml><?xml version="1.0" encoding="utf-8"?>
<formControlPr xmlns="http://schemas.microsoft.com/office/spreadsheetml/2009/9/main" objectType="CheckBox" fmlaLink="$H$59" lockText="1" noThreeD="1"/>
</file>

<file path=xl/ctrlProps/ctrlProp312.xml><?xml version="1.0" encoding="utf-8"?>
<formControlPr xmlns="http://schemas.microsoft.com/office/spreadsheetml/2009/9/main" objectType="CheckBox" fmlaLink="$F$59" lockText="1" noThreeD="1"/>
</file>

<file path=xl/ctrlProps/ctrlProp313.xml><?xml version="1.0" encoding="utf-8"?>
<formControlPr xmlns="http://schemas.microsoft.com/office/spreadsheetml/2009/9/main" objectType="CheckBox" fmlaLink="$D60" lockText="1" noThreeD="1"/>
</file>

<file path=xl/ctrlProps/ctrlProp314.xml><?xml version="1.0" encoding="utf-8"?>
<formControlPr xmlns="http://schemas.microsoft.com/office/spreadsheetml/2009/9/main" objectType="CheckBox" fmlaLink="$H$60" lockText="1" noThreeD="1"/>
</file>

<file path=xl/ctrlProps/ctrlProp315.xml><?xml version="1.0" encoding="utf-8"?>
<formControlPr xmlns="http://schemas.microsoft.com/office/spreadsheetml/2009/9/main" objectType="CheckBox" fmlaLink="$F$60" lockText="1" noThreeD="1"/>
</file>

<file path=xl/ctrlProps/ctrlProp316.xml><?xml version="1.0" encoding="utf-8"?>
<formControlPr xmlns="http://schemas.microsoft.com/office/spreadsheetml/2009/9/main" objectType="CheckBox" fmlaLink="$D61" lockText="1" noThreeD="1"/>
</file>

<file path=xl/ctrlProps/ctrlProp317.xml><?xml version="1.0" encoding="utf-8"?>
<formControlPr xmlns="http://schemas.microsoft.com/office/spreadsheetml/2009/9/main" objectType="CheckBox" fmlaLink="$H$61" lockText="1" noThreeD="1"/>
</file>

<file path=xl/ctrlProps/ctrlProp318.xml><?xml version="1.0" encoding="utf-8"?>
<formControlPr xmlns="http://schemas.microsoft.com/office/spreadsheetml/2009/9/main" objectType="CheckBox" fmlaLink="$F$61" lockText="1" noThreeD="1"/>
</file>

<file path=xl/ctrlProps/ctrlProp319.xml><?xml version="1.0" encoding="utf-8"?>
<formControlPr xmlns="http://schemas.microsoft.com/office/spreadsheetml/2009/9/main" objectType="CheckBox" fmlaLink="$D$62" lockText="1" noThreeD="1"/>
</file>

<file path=xl/ctrlProps/ctrlProp320.xml><?xml version="1.0" encoding="utf-8"?>
<formControlPr xmlns="http://schemas.microsoft.com/office/spreadsheetml/2009/9/main" objectType="CheckBox" fmlaLink="$H$62" lockText="1" noThreeD="1"/>
</file>

<file path=xl/ctrlProps/ctrlProp321.xml><?xml version="1.0" encoding="utf-8"?>
<formControlPr xmlns="http://schemas.microsoft.com/office/spreadsheetml/2009/9/main" objectType="CheckBox" fmlaLink="$F$62" lockText="1" noThreeD="1"/>
</file>

<file path=xl/ctrlProps/ctrlProp322.xml><?xml version="1.0" encoding="utf-8"?>
<formControlPr xmlns="http://schemas.microsoft.com/office/spreadsheetml/2009/9/main" objectType="CheckBox" fmlaLink="$D$63" lockText="1" noThreeD="1"/>
</file>

<file path=xl/ctrlProps/ctrlProp323.xml><?xml version="1.0" encoding="utf-8"?>
<formControlPr xmlns="http://schemas.microsoft.com/office/spreadsheetml/2009/9/main" objectType="CheckBox" fmlaLink="$H$63" lockText="1" noThreeD="1"/>
</file>

<file path=xl/ctrlProps/ctrlProp324.xml><?xml version="1.0" encoding="utf-8"?>
<formControlPr xmlns="http://schemas.microsoft.com/office/spreadsheetml/2009/9/main" objectType="CheckBox" fmlaLink="$F$63" lockText="1" noThreeD="1"/>
</file>

<file path=xl/ctrlProps/ctrlProp325.xml><?xml version="1.0" encoding="utf-8"?>
<formControlPr xmlns="http://schemas.microsoft.com/office/spreadsheetml/2009/9/main" objectType="CheckBox" fmlaLink="$D$64" lockText="1" noThreeD="1"/>
</file>

<file path=xl/ctrlProps/ctrlProp326.xml><?xml version="1.0" encoding="utf-8"?>
<formControlPr xmlns="http://schemas.microsoft.com/office/spreadsheetml/2009/9/main" objectType="CheckBox" fmlaLink="$H$64" lockText="1" noThreeD="1"/>
</file>

<file path=xl/ctrlProps/ctrlProp327.xml><?xml version="1.0" encoding="utf-8"?>
<formControlPr xmlns="http://schemas.microsoft.com/office/spreadsheetml/2009/9/main" objectType="CheckBox" fmlaLink="$F$64" lockText="1" noThreeD="1"/>
</file>

<file path=xl/ctrlProps/ctrlProp328.xml><?xml version="1.0" encoding="utf-8"?>
<formControlPr xmlns="http://schemas.microsoft.com/office/spreadsheetml/2009/9/main" objectType="CheckBox" fmlaLink="$D$65" lockText="1" noThreeD="1"/>
</file>

<file path=xl/ctrlProps/ctrlProp329.xml><?xml version="1.0" encoding="utf-8"?>
<formControlPr xmlns="http://schemas.microsoft.com/office/spreadsheetml/2009/9/main" objectType="CheckBox" fmlaLink="$H$65" lockText="1" noThreeD="1"/>
</file>

<file path=xl/ctrlProps/ctrlProp330.xml><?xml version="1.0" encoding="utf-8"?>
<formControlPr xmlns="http://schemas.microsoft.com/office/spreadsheetml/2009/9/main" objectType="CheckBox" fmlaLink="$F$65" lockText="1" noThreeD="1"/>
</file>

<file path=xl/ctrlProps/ctrlProp331.xml><?xml version="1.0" encoding="utf-8"?>
<formControlPr xmlns="http://schemas.microsoft.com/office/spreadsheetml/2009/9/main" objectType="CheckBox" fmlaLink="$D$66" lockText="1" noThreeD="1"/>
</file>

<file path=xl/ctrlProps/ctrlProp332.xml><?xml version="1.0" encoding="utf-8"?>
<formControlPr xmlns="http://schemas.microsoft.com/office/spreadsheetml/2009/9/main" objectType="CheckBox" fmlaLink="$H$66" lockText="1" noThreeD="1"/>
</file>

<file path=xl/ctrlProps/ctrlProp333.xml><?xml version="1.0" encoding="utf-8"?>
<formControlPr xmlns="http://schemas.microsoft.com/office/spreadsheetml/2009/9/main" objectType="CheckBox" fmlaLink="$F$66" lockText="1" noThreeD="1"/>
</file>

<file path=xl/ctrlProps/ctrlProp334.xml><?xml version="1.0" encoding="utf-8"?>
<formControlPr xmlns="http://schemas.microsoft.com/office/spreadsheetml/2009/9/main" objectType="CheckBox" fmlaLink="$D$67" lockText="1" noThreeD="1"/>
</file>

<file path=xl/ctrlProps/ctrlProp335.xml><?xml version="1.0" encoding="utf-8"?>
<formControlPr xmlns="http://schemas.microsoft.com/office/spreadsheetml/2009/9/main" objectType="CheckBox" fmlaLink="$H$67" lockText="1" noThreeD="1"/>
</file>

<file path=xl/ctrlProps/ctrlProp336.xml><?xml version="1.0" encoding="utf-8"?>
<formControlPr xmlns="http://schemas.microsoft.com/office/spreadsheetml/2009/9/main" objectType="CheckBox" fmlaLink="$F$67" lockText="1" noThreeD="1"/>
</file>

<file path=xl/ctrlProps/ctrlProp337.xml><?xml version="1.0" encoding="utf-8"?>
<formControlPr xmlns="http://schemas.microsoft.com/office/spreadsheetml/2009/9/main" objectType="CheckBox" fmlaLink="$D$54" lockText="1" noThreeD="1"/>
</file>

<file path=xl/ctrlProps/ctrlProp338.xml><?xml version="1.0" encoding="utf-8"?>
<formControlPr xmlns="http://schemas.microsoft.com/office/spreadsheetml/2009/9/main" objectType="CheckBox" fmlaLink="$H$54" lockText="1" noThreeD="1"/>
</file>

<file path=xl/ctrlProps/ctrlProp339.xml><?xml version="1.0" encoding="utf-8"?>
<formControlPr xmlns="http://schemas.microsoft.com/office/spreadsheetml/2009/9/main" objectType="CheckBox" fmlaLink="$F$54" lockText="1" noThreeD="1"/>
</file>

<file path=xl/ctrlProps/ctrlProp340.xml><?xml version="1.0" encoding="utf-8"?>
<formControlPr xmlns="http://schemas.microsoft.com/office/spreadsheetml/2009/9/main" objectType="CheckBox" fmlaLink="$D$48" lockText="1" noThreeD="1"/>
</file>

<file path=xl/ctrlProps/ctrlProp341.xml><?xml version="1.0" encoding="utf-8"?>
<formControlPr xmlns="http://schemas.microsoft.com/office/spreadsheetml/2009/9/main" objectType="CheckBox" fmlaLink="$H$48" lockText="1" noThreeD="1"/>
</file>

<file path=xl/ctrlProps/ctrlProp342.xml><?xml version="1.0" encoding="utf-8"?>
<formControlPr xmlns="http://schemas.microsoft.com/office/spreadsheetml/2009/9/main" objectType="CheckBox" fmlaLink="$F$48" lockText="1" noThreeD="1"/>
</file>

<file path=xl/ctrlProps/ctrlProp343.xml><?xml version="1.0" encoding="utf-8"?>
<formControlPr xmlns="http://schemas.microsoft.com/office/spreadsheetml/2009/9/main" objectType="CheckBox" fmlaLink="$D$52" lockText="1" noThreeD="1"/>
</file>

<file path=xl/ctrlProps/ctrlProp344.xml><?xml version="1.0" encoding="utf-8"?>
<formControlPr xmlns="http://schemas.microsoft.com/office/spreadsheetml/2009/9/main" objectType="CheckBox" fmlaLink="$H$52" lockText="1" noThreeD="1"/>
</file>

<file path=xl/ctrlProps/ctrlProp345.xml><?xml version="1.0" encoding="utf-8"?>
<formControlPr xmlns="http://schemas.microsoft.com/office/spreadsheetml/2009/9/main" objectType="CheckBox" fmlaLink="$F$52" lockText="1" noThreeD="1"/>
</file>

<file path=xl/ctrlProps/ctrlProp346.xml><?xml version="1.0" encoding="utf-8"?>
<formControlPr xmlns="http://schemas.microsoft.com/office/spreadsheetml/2009/9/main" objectType="CheckBox" fmlaLink="$D$53" lockText="1" noThreeD="1"/>
</file>

<file path=xl/ctrlProps/ctrlProp347.xml><?xml version="1.0" encoding="utf-8"?>
<formControlPr xmlns="http://schemas.microsoft.com/office/spreadsheetml/2009/9/main" objectType="CheckBox" fmlaLink="$H$53" lockText="1" noThreeD="1"/>
</file>

<file path=xl/ctrlProps/ctrlProp348.xml><?xml version="1.0" encoding="utf-8"?>
<formControlPr xmlns="http://schemas.microsoft.com/office/spreadsheetml/2009/9/main" objectType="CheckBox" fmlaLink="$F$53" lockText="1" noThreeD="1"/>
</file>

<file path=xl/ctrlProps/ctrlProp349.xml><?xml version="1.0" encoding="utf-8"?>
<formControlPr xmlns="http://schemas.microsoft.com/office/spreadsheetml/2009/9/main" objectType="CheckBox" fmlaLink="$D$70" lockText="1" noThreeD="1"/>
</file>

<file path=xl/ctrlProps/ctrlProp350.xml><?xml version="1.0" encoding="utf-8"?>
<formControlPr xmlns="http://schemas.microsoft.com/office/spreadsheetml/2009/9/main" objectType="CheckBox" fmlaLink="$H$70" lockText="1" noThreeD="1"/>
</file>

<file path=xl/ctrlProps/ctrlProp351.xml><?xml version="1.0" encoding="utf-8"?>
<formControlPr xmlns="http://schemas.microsoft.com/office/spreadsheetml/2009/9/main" objectType="CheckBox" fmlaLink="$F$70" lockText="1" noThreeD="1"/>
</file>

<file path=xl/ctrlProps/ctrlProp352.xml><?xml version="1.0" encoding="utf-8"?>
<formControlPr xmlns="http://schemas.microsoft.com/office/spreadsheetml/2009/9/main" objectType="CheckBox" fmlaLink="$D$71" lockText="1" noThreeD="1"/>
</file>

<file path=xl/ctrlProps/ctrlProp353.xml><?xml version="1.0" encoding="utf-8"?>
<formControlPr xmlns="http://schemas.microsoft.com/office/spreadsheetml/2009/9/main" objectType="CheckBox" fmlaLink="$H$71" lockText="1" noThreeD="1"/>
</file>

<file path=xl/ctrlProps/ctrlProp354.xml><?xml version="1.0" encoding="utf-8"?>
<formControlPr xmlns="http://schemas.microsoft.com/office/spreadsheetml/2009/9/main" objectType="CheckBox" fmlaLink="$F$71" lockText="1" noThreeD="1"/>
</file>

<file path=xl/ctrlProps/ctrlProp355.xml><?xml version="1.0" encoding="utf-8"?>
<formControlPr xmlns="http://schemas.microsoft.com/office/spreadsheetml/2009/9/main" objectType="CheckBox" fmlaLink="$D$72" lockText="1" noThreeD="1"/>
</file>

<file path=xl/ctrlProps/ctrlProp356.xml><?xml version="1.0" encoding="utf-8"?>
<formControlPr xmlns="http://schemas.microsoft.com/office/spreadsheetml/2009/9/main" objectType="CheckBox" fmlaLink="$H$72" lockText="1" noThreeD="1"/>
</file>

<file path=xl/ctrlProps/ctrlProp357.xml><?xml version="1.0" encoding="utf-8"?>
<formControlPr xmlns="http://schemas.microsoft.com/office/spreadsheetml/2009/9/main" objectType="CheckBox" fmlaLink="$F$72" lockText="1" noThreeD="1"/>
</file>

<file path=xl/ctrlProps/ctrlProp358.xml><?xml version="1.0" encoding="utf-8"?>
<formControlPr xmlns="http://schemas.microsoft.com/office/spreadsheetml/2009/9/main" objectType="CheckBox" fmlaLink="$H$70" lockText="1" noThreeD="1"/>
</file>

<file path=xl/ctrlProps/ctrlProp359.xml><?xml version="1.0" encoding="utf-8"?>
<formControlPr xmlns="http://schemas.microsoft.com/office/spreadsheetml/2009/9/main" objectType="CheckBox" fmlaLink="$H$71" lockText="1" noThreeD="1"/>
</file>

<file path=xl/ctrlProps/ctrlProp360.xml><?xml version="1.0" encoding="utf-8"?>
<formControlPr xmlns="http://schemas.microsoft.com/office/spreadsheetml/2009/9/main" objectType="CheckBox" fmlaLink="$H$72" lockText="1" noThreeD="1"/>
</file>

<file path=xl/drawings/_rels/drawing6.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342900</xdr:colOff>
          <xdr:row>59</xdr:row>
          <xdr:rowOff>152400</xdr:rowOff>
        </xdr:from>
        <xdr:to>
          <xdr:col>7</xdr:col>
          <xdr:colOff>600075</xdr:colOff>
          <xdr:row>61</xdr:row>
          <xdr:rowOff>152400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1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Roboto"/>
                  <a:ea typeface="Roboto"/>
                </a:rPr>
                <a:t>Onderhoudsrapportage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962025</xdr:colOff>
          <xdr:row>17</xdr:row>
          <xdr:rowOff>152400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962025</xdr:colOff>
          <xdr:row>16</xdr:row>
          <xdr:rowOff>152400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962025</xdr:colOff>
          <xdr:row>36</xdr:row>
          <xdr:rowOff>152400</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58</xdr:row>
          <xdr:rowOff>19050</xdr:rowOff>
        </xdr:from>
        <xdr:to>
          <xdr:col>1</xdr:col>
          <xdr:colOff>962025</xdr:colOff>
          <xdr:row>58</xdr:row>
          <xdr:rowOff>152400</xdr:rowOff>
        </xdr:to>
        <xdr:sp macro="" textlink="">
          <xdr:nvSpPr>
            <xdr:cNvPr id="4103" name="Drop Dow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19050</xdr:rowOff>
        </xdr:from>
        <xdr:to>
          <xdr:col>1</xdr:col>
          <xdr:colOff>962025</xdr:colOff>
          <xdr:row>59</xdr:row>
          <xdr:rowOff>152400</xdr:rowOff>
        </xdr:to>
        <xdr:sp macro="" textlink="">
          <xdr:nvSpPr>
            <xdr:cNvPr id="4105" name="Drop Dow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962025</xdr:colOff>
          <xdr:row>51</xdr:row>
          <xdr:rowOff>152400</xdr:rowOff>
        </xdr:to>
        <xdr:sp macro="" textlink="">
          <xdr:nvSpPr>
            <xdr:cNvPr id="4106" name="Drop Dow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962025</xdr:colOff>
          <xdr:row>41</xdr:row>
          <xdr:rowOff>152400</xdr:rowOff>
        </xdr:to>
        <xdr:sp macro="" textlink="">
          <xdr:nvSpPr>
            <xdr:cNvPr id="4108" name="Drop Down 12"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962025</xdr:colOff>
          <xdr:row>42</xdr:row>
          <xdr:rowOff>152400</xdr:rowOff>
        </xdr:to>
        <xdr:sp macro="" textlink="">
          <xdr:nvSpPr>
            <xdr:cNvPr id="4109" name="Drop Down 13" hidden="1">
              <a:extLst>
                <a:ext uri="{63B3BB69-23CF-44E3-9099-C40C66FF867C}">
                  <a14:compatExt spid="_x0000_s4109"/>
                </a:ext>
                <a:ext uri="{FF2B5EF4-FFF2-40B4-BE49-F238E27FC236}">
                  <a16:creationId xmlns:a16="http://schemas.microsoft.com/office/drawing/2014/main" id="{00000000-0008-0000-02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962025</xdr:colOff>
          <xdr:row>52</xdr:row>
          <xdr:rowOff>152400</xdr:rowOff>
        </xdr:to>
        <xdr:sp macro="" textlink="">
          <xdr:nvSpPr>
            <xdr:cNvPr id="4110" name="Drop Down 14"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19050</xdr:rowOff>
        </xdr:from>
        <xdr:to>
          <xdr:col>1</xdr:col>
          <xdr:colOff>962025</xdr:colOff>
          <xdr:row>60</xdr:row>
          <xdr:rowOff>152400</xdr:rowOff>
        </xdr:to>
        <xdr:sp macro="" textlink="">
          <xdr:nvSpPr>
            <xdr:cNvPr id="4111" name="Drop Down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962025</xdr:colOff>
          <xdr:row>61</xdr:row>
          <xdr:rowOff>152400</xdr:rowOff>
        </xdr:to>
        <xdr:sp macro="" textlink="">
          <xdr:nvSpPr>
            <xdr:cNvPr id="4112" name="Drop Dow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65</xdr:row>
          <xdr:rowOff>0</xdr:rowOff>
        </xdr:from>
        <xdr:to>
          <xdr:col>0</xdr:col>
          <xdr:colOff>3333750</xdr:colOff>
          <xdr:row>67</xdr:row>
          <xdr:rowOff>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Roboto"/>
                  <a:ea typeface="Roboto"/>
                </a:rPr>
                <a:t>Voltooid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962025</xdr:colOff>
          <xdr:row>5</xdr:row>
          <xdr:rowOff>152400</xdr:rowOff>
        </xdr:to>
        <xdr:sp macro="" textlink="">
          <xdr:nvSpPr>
            <xdr:cNvPr id="4116" name="Drop Dow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866775</xdr:colOff>
          <xdr:row>1</xdr:row>
          <xdr:rowOff>133350</xdr:rowOff>
        </xdr:from>
        <xdr:to>
          <xdr:col>5</xdr:col>
          <xdr:colOff>57150</xdr:colOff>
          <xdr:row>3</xdr:row>
          <xdr:rowOff>28575</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3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1</xdr:row>
          <xdr:rowOff>133350</xdr:rowOff>
        </xdr:from>
        <xdr:to>
          <xdr:col>9</xdr:col>
          <xdr:colOff>19050</xdr:colOff>
          <xdr:row>3</xdr:row>
          <xdr:rowOff>28575</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3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1</xdr:row>
          <xdr:rowOff>133350</xdr:rowOff>
        </xdr:from>
        <xdr:to>
          <xdr:col>7</xdr:col>
          <xdr:colOff>38100</xdr:colOff>
          <xdr:row>3</xdr:row>
          <xdr:rowOff>28575</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3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133350</xdr:rowOff>
        </xdr:from>
        <xdr:to>
          <xdr:col>2</xdr:col>
          <xdr:colOff>285750</xdr:colOff>
          <xdr:row>3</xdr:row>
          <xdr:rowOff>28575</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3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2</xdr:row>
          <xdr:rowOff>133350</xdr:rowOff>
        </xdr:from>
        <xdr:to>
          <xdr:col>5</xdr:col>
          <xdr:colOff>57150</xdr:colOff>
          <xdr:row>4</xdr:row>
          <xdr:rowOff>28575</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3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2</xdr:row>
          <xdr:rowOff>133350</xdr:rowOff>
        </xdr:from>
        <xdr:to>
          <xdr:col>9</xdr:col>
          <xdr:colOff>19050</xdr:colOff>
          <xdr:row>4</xdr:row>
          <xdr:rowOff>28575</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03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2</xdr:row>
          <xdr:rowOff>133350</xdr:rowOff>
        </xdr:from>
        <xdr:to>
          <xdr:col>7</xdr:col>
          <xdr:colOff>38100</xdr:colOff>
          <xdr:row>4</xdr:row>
          <xdr:rowOff>28575</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3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133350</xdr:rowOff>
        </xdr:from>
        <xdr:to>
          <xdr:col>2</xdr:col>
          <xdr:colOff>285750</xdr:colOff>
          <xdr:row>4</xdr:row>
          <xdr:rowOff>28575</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3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3</xdr:row>
          <xdr:rowOff>133350</xdr:rowOff>
        </xdr:from>
        <xdr:to>
          <xdr:col>5</xdr:col>
          <xdr:colOff>57150</xdr:colOff>
          <xdr:row>5</xdr:row>
          <xdr:rowOff>28575</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03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3</xdr:row>
          <xdr:rowOff>133350</xdr:rowOff>
        </xdr:from>
        <xdr:to>
          <xdr:col>9</xdr:col>
          <xdr:colOff>19050</xdr:colOff>
          <xdr:row>5</xdr:row>
          <xdr:rowOff>28575</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3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3</xdr:row>
          <xdr:rowOff>133350</xdr:rowOff>
        </xdr:from>
        <xdr:to>
          <xdr:col>7</xdr:col>
          <xdr:colOff>38100</xdr:colOff>
          <xdr:row>5</xdr:row>
          <xdr:rowOff>28575</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03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133350</xdr:rowOff>
        </xdr:from>
        <xdr:to>
          <xdr:col>2</xdr:col>
          <xdr:colOff>285750</xdr:colOff>
          <xdr:row>5</xdr:row>
          <xdr:rowOff>28575</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03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4</xdr:row>
          <xdr:rowOff>133350</xdr:rowOff>
        </xdr:from>
        <xdr:to>
          <xdr:col>5</xdr:col>
          <xdr:colOff>57150</xdr:colOff>
          <xdr:row>6</xdr:row>
          <xdr:rowOff>28575</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03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4</xdr:row>
          <xdr:rowOff>133350</xdr:rowOff>
        </xdr:from>
        <xdr:to>
          <xdr:col>9</xdr:col>
          <xdr:colOff>19050</xdr:colOff>
          <xdr:row>6</xdr:row>
          <xdr:rowOff>28575</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03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4</xdr:row>
          <xdr:rowOff>133350</xdr:rowOff>
        </xdr:from>
        <xdr:to>
          <xdr:col>7</xdr:col>
          <xdr:colOff>38100</xdr:colOff>
          <xdr:row>6</xdr:row>
          <xdr:rowOff>28575</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03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133350</xdr:rowOff>
        </xdr:from>
        <xdr:to>
          <xdr:col>2</xdr:col>
          <xdr:colOff>285750</xdr:colOff>
          <xdr:row>6</xdr:row>
          <xdr:rowOff>28575</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03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5</xdr:row>
          <xdr:rowOff>133350</xdr:rowOff>
        </xdr:from>
        <xdr:to>
          <xdr:col>5</xdr:col>
          <xdr:colOff>57150</xdr:colOff>
          <xdr:row>7</xdr:row>
          <xdr:rowOff>28575</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3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5</xdr:row>
          <xdr:rowOff>133350</xdr:rowOff>
        </xdr:from>
        <xdr:to>
          <xdr:col>9</xdr:col>
          <xdr:colOff>19050</xdr:colOff>
          <xdr:row>7</xdr:row>
          <xdr:rowOff>28575</xdr:rowOff>
        </xdr:to>
        <xdr:sp macro="" textlink="">
          <xdr:nvSpPr>
            <xdr:cNvPr id="20507" name="Check Box 27" hidden="1">
              <a:extLst>
                <a:ext uri="{63B3BB69-23CF-44E3-9099-C40C66FF867C}">
                  <a14:compatExt spid="_x0000_s20507"/>
                </a:ext>
                <a:ext uri="{FF2B5EF4-FFF2-40B4-BE49-F238E27FC236}">
                  <a16:creationId xmlns:a16="http://schemas.microsoft.com/office/drawing/2014/main" id="{00000000-0008-0000-0300-00001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5</xdr:row>
          <xdr:rowOff>133350</xdr:rowOff>
        </xdr:from>
        <xdr:to>
          <xdr:col>7</xdr:col>
          <xdr:colOff>38100</xdr:colOff>
          <xdr:row>7</xdr:row>
          <xdr:rowOff>28575</xdr:rowOff>
        </xdr:to>
        <xdr:sp macro="" textlink="">
          <xdr:nvSpPr>
            <xdr:cNvPr id="20508" name="Check Box 28" hidden="1">
              <a:extLst>
                <a:ext uri="{63B3BB69-23CF-44E3-9099-C40C66FF867C}">
                  <a14:compatExt spid="_x0000_s20508"/>
                </a:ext>
                <a:ext uri="{FF2B5EF4-FFF2-40B4-BE49-F238E27FC236}">
                  <a16:creationId xmlns:a16="http://schemas.microsoft.com/office/drawing/2014/main" id="{00000000-0008-0000-0300-00001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133350</xdr:rowOff>
        </xdr:from>
        <xdr:to>
          <xdr:col>2</xdr:col>
          <xdr:colOff>285750</xdr:colOff>
          <xdr:row>7</xdr:row>
          <xdr:rowOff>28575</xdr:rowOff>
        </xdr:to>
        <xdr:sp macro="" textlink="">
          <xdr:nvSpPr>
            <xdr:cNvPr id="20509" name="Check Box 29" hidden="1">
              <a:extLst>
                <a:ext uri="{63B3BB69-23CF-44E3-9099-C40C66FF867C}">
                  <a14:compatExt spid="_x0000_s20509"/>
                </a:ext>
                <a:ext uri="{FF2B5EF4-FFF2-40B4-BE49-F238E27FC236}">
                  <a16:creationId xmlns:a16="http://schemas.microsoft.com/office/drawing/2014/main" id="{00000000-0008-0000-0300-00001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6</xdr:row>
          <xdr:rowOff>133350</xdr:rowOff>
        </xdr:from>
        <xdr:to>
          <xdr:col>5</xdr:col>
          <xdr:colOff>57150</xdr:colOff>
          <xdr:row>8</xdr:row>
          <xdr:rowOff>28575</xdr:rowOff>
        </xdr:to>
        <xdr:sp macro="" textlink="">
          <xdr:nvSpPr>
            <xdr:cNvPr id="20510" name="Check Box 30" hidden="1">
              <a:extLst>
                <a:ext uri="{63B3BB69-23CF-44E3-9099-C40C66FF867C}">
                  <a14:compatExt spid="_x0000_s20510"/>
                </a:ext>
                <a:ext uri="{FF2B5EF4-FFF2-40B4-BE49-F238E27FC236}">
                  <a16:creationId xmlns:a16="http://schemas.microsoft.com/office/drawing/2014/main" id="{00000000-0008-0000-03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6</xdr:row>
          <xdr:rowOff>133350</xdr:rowOff>
        </xdr:from>
        <xdr:to>
          <xdr:col>9</xdr:col>
          <xdr:colOff>19050</xdr:colOff>
          <xdr:row>8</xdr:row>
          <xdr:rowOff>28575</xdr:rowOff>
        </xdr:to>
        <xdr:sp macro="" textlink="">
          <xdr:nvSpPr>
            <xdr:cNvPr id="20511" name="Check Box 31" hidden="1">
              <a:extLst>
                <a:ext uri="{63B3BB69-23CF-44E3-9099-C40C66FF867C}">
                  <a14:compatExt spid="_x0000_s20511"/>
                </a:ext>
                <a:ext uri="{FF2B5EF4-FFF2-40B4-BE49-F238E27FC236}">
                  <a16:creationId xmlns:a16="http://schemas.microsoft.com/office/drawing/2014/main" id="{00000000-0008-0000-0300-00001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6</xdr:row>
          <xdr:rowOff>133350</xdr:rowOff>
        </xdr:from>
        <xdr:to>
          <xdr:col>7</xdr:col>
          <xdr:colOff>38100</xdr:colOff>
          <xdr:row>8</xdr:row>
          <xdr:rowOff>28575</xdr:rowOff>
        </xdr:to>
        <xdr:sp macro="" textlink="">
          <xdr:nvSpPr>
            <xdr:cNvPr id="20512" name="Check Box 32" hidden="1">
              <a:extLst>
                <a:ext uri="{63B3BB69-23CF-44E3-9099-C40C66FF867C}">
                  <a14:compatExt spid="_x0000_s20512"/>
                </a:ext>
                <a:ext uri="{FF2B5EF4-FFF2-40B4-BE49-F238E27FC236}">
                  <a16:creationId xmlns:a16="http://schemas.microsoft.com/office/drawing/2014/main" id="{00000000-0008-0000-03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133350</xdr:rowOff>
        </xdr:from>
        <xdr:to>
          <xdr:col>2</xdr:col>
          <xdr:colOff>285750</xdr:colOff>
          <xdr:row>8</xdr:row>
          <xdr:rowOff>28575</xdr:rowOff>
        </xdr:to>
        <xdr:sp macro="" textlink="">
          <xdr:nvSpPr>
            <xdr:cNvPr id="20513" name="Check Box 33" hidden="1">
              <a:extLst>
                <a:ext uri="{63B3BB69-23CF-44E3-9099-C40C66FF867C}">
                  <a14:compatExt spid="_x0000_s20513"/>
                </a:ext>
                <a:ext uri="{FF2B5EF4-FFF2-40B4-BE49-F238E27FC236}">
                  <a16:creationId xmlns:a16="http://schemas.microsoft.com/office/drawing/2014/main" id="{00000000-0008-0000-0300-00002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7</xdr:row>
          <xdr:rowOff>133350</xdr:rowOff>
        </xdr:from>
        <xdr:to>
          <xdr:col>5</xdr:col>
          <xdr:colOff>57150</xdr:colOff>
          <xdr:row>9</xdr:row>
          <xdr:rowOff>28575</xdr:rowOff>
        </xdr:to>
        <xdr:sp macro="" textlink="">
          <xdr:nvSpPr>
            <xdr:cNvPr id="20514" name="Check Box 34" hidden="1">
              <a:extLst>
                <a:ext uri="{63B3BB69-23CF-44E3-9099-C40C66FF867C}">
                  <a14:compatExt spid="_x0000_s20514"/>
                </a:ext>
                <a:ext uri="{FF2B5EF4-FFF2-40B4-BE49-F238E27FC236}">
                  <a16:creationId xmlns:a16="http://schemas.microsoft.com/office/drawing/2014/main" id="{00000000-0008-0000-03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7</xdr:row>
          <xdr:rowOff>133350</xdr:rowOff>
        </xdr:from>
        <xdr:to>
          <xdr:col>9</xdr:col>
          <xdr:colOff>19050</xdr:colOff>
          <xdr:row>9</xdr:row>
          <xdr:rowOff>28575</xdr:rowOff>
        </xdr:to>
        <xdr:sp macro="" textlink="">
          <xdr:nvSpPr>
            <xdr:cNvPr id="20515" name="Check Box 35" hidden="1">
              <a:extLst>
                <a:ext uri="{63B3BB69-23CF-44E3-9099-C40C66FF867C}">
                  <a14:compatExt spid="_x0000_s20515"/>
                </a:ext>
                <a:ext uri="{FF2B5EF4-FFF2-40B4-BE49-F238E27FC236}">
                  <a16:creationId xmlns:a16="http://schemas.microsoft.com/office/drawing/2014/main" id="{00000000-0008-0000-03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7</xdr:row>
          <xdr:rowOff>133350</xdr:rowOff>
        </xdr:from>
        <xdr:to>
          <xdr:col>7</xdr:col>
          <xdr:colOff>38100</xdr:colOff>
          <xdr:row>9</xdr:row>
          <xdr:rowOff>28575</xdr:rowOff>
        </xdr:to>
        <xdr:sp macro="" textlink="">
          <xdr:nvSpPr>
            <xdr:cNvPr id="20516" name="Check Box 36" hidden="1">
              <a:extLst>
                <a:ext uri="{63B3BB69-23CF-44E3-9099-C40C66FF867C}">
                  <a14:compatExt spid="_x0000_s20516"/>
                </a:ext>
                <a:ext uri="{FF2B5EF4-FFF2-40B4-BE49-F238E27FC236}">
                  <a16:creationId xmlns:a16="http://schemas.microsoft.com/office/drawing/2014/main" id="{00000000-0008-0000-0300-00002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133350</xdr:rowOff>
        </xdr:from>
        <xdr:to>
          <xdr:col>2</xdr:col>
          <xdr:colOff>285750</xdr:colOff>
          <xdr:row>9</xdr:row>
          <xdr:rowOff>28575</xdr:rowOff>
        </xdr:to>
        <xdr:sp macro="" textlink="">
          <xdr:nvSpPr>
            <xdr:cNvPr id="20517" name="Check Box 37" hidden="1">
              <a:extLst>
                <a:ext uri="{63B3BB69-23CF-44E3-9099-C40C66FF867C}">
                  <a14:compatExt spid="_x0000_s20517"/>
                </a:ext>
                <a:ext uri="{FF2B5EF4-FFF2-40B4-BE49-F238E27FC236}">
                  <a16:creationId xmlns:a16="http://schemas.microsoft.com/office/drawing/2014/main" id="{00000000-0008-0000-0300-00002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8</xdr:row>
          <xdr:rowOff>133350</xdr:rowOff>
        </xdr:from>
        <xdr:to>
          <xdr:col>5</xdr:col>
          <xdr:colOff>57150</xdr:colOff>
          <xdr:row>10</xdr:row>
          <xdr:rowOff>28575</xdr:rowOff>
        </xdr:to>
        <xdr:sp macro="" textlink="">
          <xdr:nvSpPr>
            <xdr:cNvPr id="20518" name="Check Box 38" hidden="1">
              <a:extLst>
                <a:ext uri="{63B3BB69-23CF-44E3-9099-C40C66FF867C}">
                  <a14:compatExt spid="_x0000_s20518"/>
                </a:ext>
                <a:ext uri="{FF2B5EF4-FFF2-40B4-BE49-F238E27FC236}">
                  <a16:creationId xmlns:a16="http://schemas.microsoft.com/office/drawing/2014/main" id="{00000000-0008-0000-0300-00002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8</xdr:row>
          <xdr:rowOff>133350</xdr:rowOff>
        </xdr:from>
        <xdr:to>
          <xdr:col>9</xdr:col>
          <xdr:colOff>19050</xdr:colOff>
          <xdr:row>10</xdr:row>
          <xdr:rowOff>28575</xdr:rowOff>
        </xdr:to>
        <xdr:sp macro="" textlink="">
          <xdr:nvSpPr>
            <xdr:cNvPr id="20519" name="Check Box 39" hidden="1">
              <a:extLst>
                <a:ext uri="{63B3BB69-23CF-44E3-9099-C40C66FF867C}">
                  <a14:compatExt spid="_x0000_s20519"/>
                </a:ext>
                <a:ext uri="{FF2B5EF4-FFF2-40B4-BE49-F238E27FC236}">
                  <a16:creationId xmlns:a16="http://schemas.microsoft.com/office/drawing/2014/main" id="{00000000-0008-0000-0300-00002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8</xdr:row>
          <xdr:rowOff>133350</xdr:rowOff>
        </xdr:from>
        <xdr:to>
          <xdr:col>7</xdr:col>
          <xdr:colOff>38100</xdr:colOff>
          <xdr:row>10</xdr:row>
          <xdr:rowOff>28575</xdr:rowOff>
        </xdr:to>
        <xdr:sp macro="" textlink="">
          <xdr:nvSpPr>
            <xdr:cNvPr id="20520" name="Check Box 40" hidden="1">
              <a:extLst>
                <a:ext uri="{63B3BB69-23CF-44E3-9099-C40C66FF867C}">
                  <a14:compatExt spid="_x0000_s20520"/>
                </a:ext>
                <a:ext uri="{FF2B5EF4-FFF2-40B4-BE49-F238E27FC236}">
                  <a16:creationId xmlns:a16="http://schemas.microsoft.com/office/drawing/2014/main" id="{00000000-0008-0000-0300-00002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133350</xdr:rowOff>
        </xdr:from>
        <xdr:to>
          <xdr:col>2</xdr:col>
          <xdr:colOff>285750</xdr:colOff>
          <xdr:row>10</xdr:row>
          <xdr:rowOff>28575</xdr:rowOff>
        </xdr:to>
        <xdr:sp macro="" textlink="">
          <xdr:nvSpPr>
            <xdr:cNvPr id="20521" name="Check Box 41" hidden="1">
              <a:extLst>
                <a:ext uri="{63B3BB69-23CF-44E3-9099-C40C66FF867C}">
                  <a14:compatExt spid="_x0000_s20521"/>
                </a:ext>
                <a:ext uri="{FF2B5EF4-FFF2-40B4-BE49-F238E27FC236}">
                  <a16:creationId xmlns:a16="http://schemas.microsoft.com/office/drawing/2014/main" id="{00000000-0008-0000-0300-00002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9</xdr:row>
          <xdr:rowOff>133350</xdr:rowOff>
        </xdr:from>
        <xdr:to>
          <xdr:col>5</xdr:col>
          <xdr:colOff>57150</xdr:colOff>
          <xdr:row>11</xdr:row>
          <xdr:rowOff>28575</xdr:rowOff>
        </xdr:to>
        <xdr:sp macro="" textlink="">
          <xdr:nvSpPr>
            <xdr:cNvPr id="20522" name="Check Box 42" hidden="1">
              <a:extLst>
                <a:ext uri="{63B3BB69-23CF-44E3-9099-C40C66FF867C}">
                  <a14:compatExt spid="_x0000_s20522"/>
                </a:ext>
                <a:ext uri="{FF2B5EF4-FFF2-40B4-BE49-F238E27FC236}">
                  <a16:creationId xmlns:a16="http://schemas.microsoft.com/office/drawing/2014/main" id="{00000000-0008-0000-0300-00002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9</xdr:row>
          <xdr:rowOff>133350</xdr:rowOff>
        </xdr:from>
        <xdr:to>
          <xdr:col>9</xdr:col>
          <xdr:colOff>19050</xdr:colOff>
          <xdr:row>11</xdr:row>
          <xdr:rowOff>28575</xdr:rowOff>
        </xdr:to>
        <xdr:sp macro="" textlink="">
          <xdr:nvSpPr>
            <xdr:cNvPr id="20523" name="Check Box 43" hidden="1">
              <a:extLst>
                <a:ext uri="{63B3BB69-23CF-44E3-9099-C40C66FF867C}">
                  <a14:compatExt spid="_x0000_s20523"/>
                </a:ext>
                <a:ext uri="{FF2B5EF4-FFF2-40B4-BE49-F238E27FC236}">
                  <a16:creationId xmlns:a16="http://schemas.microsoft.com/office/drawing/2014/main" id="{00000000-0008-0000-0300-00002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9</xdr:row>
          <xdr:rowOff>133350</xdr:rowOff>
        </xdr:from>
        <xdr:to>
          <xdr:col>7</xdr:col>
          <xdr:colOff>38100</xdr:colOff>
          <xdr:row>11</xdr:row>
          <xdr:rowOff>28575</xdr:rowOff>
        </xdr:to>
        <xdr:sp macro="" textlink="">
          <xdr:nvSpPr>
            <xdr:cNvPr id="20524" name="Check Box 44" hidden="1">
              <a:extLst>
                <a:ext uri="{63B3BB69-23CF-44E3-9099-C40C66FF867C}">
                  <a14:compatExt spid="_x0000_s20524"/>
                </a:ext>
                <a:ext uri="{FF2B5EF4-FFF2-40B4-BE49-F238E27FC236}">
                  <a16:creationId xmlns:a16="http://schemas.microsoft.com/office/drawing/2014/main" id="{00000000-0008-0000-0300-00002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133350</xdr:rowOff>
        </xdr:from>
        <xdr:to>
          <xdr:col>2</xdr:col>
          <xdr:colOff>285750</xdr:colOff>
          <xdr:row>11</xdr:row>
          <xdr:rowOff>28575</xdr:rowOff>
        </xdr:to>
        <xdr:sp macro="" textlink="">
          <xdr:nvSpPr>
            <xdr:cNvPr id="20525" name="Check Box 45" hidden="1">
              <a:extLst>
                <a:ext uri="{63B3BB69-23CF-44E3-9099-C40C66FF867C}">
                  <a14:compatExt spid="_x0000_s20525"/>
                </a:ext>
                <a:ext uri="{FF2B5EF4-FFF2-40B4-BE49-F238E27FC236}">
                  <a16:creationId xmlns:a16="http://schemas.microsoft.com/office/drawing/2014/main" id="{00000000-0008-0000-0300-00002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10</xdr:row>
          <xdr:rowOff>133350</xdr:rowOff>
        </xdr:from>
        <xdr:to>
          <xdr:col>5</xdr:col>
          <xdr:colOff>57150</xdr:colOff>
          <xdr:row>12</xdr:row>
          <xdr:rowOff>28575</xdr:rowOff>
        </xdr:to>
        <xdr:sp macro="" textlink="">
          <xdr:nvSpPr>
            <xdr:cNvPr id="20526" name="Check Box 46" hidden="1">
              <a:extLst>
                <a:ext uri="{63B3BB69-23CF-44E3-9099-C40C66FF867C}">
                  <a14:compatExt spid="_x0000_s20526"/>
                </a:ext>
                <a:ext uri="{FF2B5EF4-FFF2-40B4-BE49-F238E27FC236}">
                  <a16:creationId xmlns:a16="http://schemas.microsoft.com/office/drawing/2014/main" id="{00000000-0008-0000-0300-00002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10</xdr:row>
          <xdr:rowOff>133350</xdr:rowOff>
        </xdr:from>
        <xdr:to>
          <xdr:col>9</xdr:col>
          <xdr:colOff>19050</xdr:colOff>
          <xdr:row>12</xdr:row>
          <xdr:rowOff>28575</xdr:rowOff>
        </xdr:to>
        <xdr:sp macro="" textlink="">
          <xdr:nvSpPr>
            <xdr:cNvPr id="20527" name="Check Box 47" hidden="1">
              <a:extLst>
                <a:ext uri="{63B3BB69-23CF-44E3-9099-C40C66FF867C}">
                  <a14:compatExt spid="_x0000_s20527"/>
                </a:ext>
                <a:ext uri="{FF2B5EF4-FFF2-40B4-BE49-F238E27FC236}">
                  <a16:creationId xmlns:a16="http://schemas.microsoft.com/office/drawing/2014/main" id="{00000000-0008-0000-0300-00002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10</xdr:row>
          <xdr:rowOff>133350</xdr:rowOff>
        </xdr:from>
        <xdr:to>
          <xdr:col>7</xdr:col>
          <xdr:colOff>38100</xdr:colOff>
          <xdr:row>12</xdr:row>
          <xdr:rowOff>28575</xdr:rowOff>
        </xdr:to>
        <xdr:sp macro="" textlink="">
          <xdr:nvSpPr>
            <xdr:cNvPr id="20528" name="Check Box 48" hidden="1">
              <a:extLst>
                <a:ext uri="{63B3BB69-23CF-44E3-9099-C40C66FF867C}">
                  <a14:compatExt spid="_x0000_s20528"/>
                </a:ext>
                <a:ext uri="{FF2B5EF4-FFF2-40B4-BE49-F238E27FC236}">
                  <a16:creationId xmlns:a16="http://schemas.microsoft.com/office/drawing/2014/main" id="{00000000-0008-0000-0300-00003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133350</xdr:rowOff>
        </xdr:from>
        <xdr:to>
          <xdr:col>2</xdr:col>
          <xdr:colOff>285750</xdr:colOff>
          <xdr:row>12</xdr:row>
          <xdr:rowOff>28575</xdr:rowOff>
        </xdr:to>
        <xdr:sp macro="" textlink="">
          <xdr:nvSpPr>
            <xdr:cNvPr id="20529" name="Check Box 49" hidden="1">
              <a:extLst>
                <a:ext uri="{63B3BB69-23CF-44E3-9099-C40C66FF867C}">
                  <a14:compatExt spid="_x0000_s20529"/>
                </a:ext>
                <a:ext uri="{FF2B5EF4-FFF2-40B4-BE49-F238E27FC236}">
                  <a16:creationId xmlns:a16="http://schemas.microsoft.com/office/drawing/2014/main" id="{00000000-0008-0000-0300-00003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11</xdr:row>
          <xdr:rowOff>133350</xdr:rowOff>
        </xdr:from>
        <xdr:to>
          <xdr:col>5</xdr:col>
          <xdr:colOff>57150</xdr:colOff>
          <xdr:row>13</xdr:row>
          <xdr:rowOff>28575</xdr:rowOff>
        </xdr:to>
        <xdr:sp macro="" textlink="">
          <xdr:nvSpPr>
            <xdr:cNvPr id="20530" name="Check Box 50" hidden="1">
              <a:extLst>
                <a:ext uri="{63B3BB69-23CF-44E3-9099-C40C66FF867C}">
                  <a14:compatExt spid="_x0000_s20530"/>
                </a:ext>
                <a:ext uri="{FF2B5EF4-FFF2-40B4-BE49-F238E27FC236}">
                  <a16:creationId xmlns:a16="http://schemas.microsoft.com/office/drawing/2014/main" id="{00000000-0008-0000-0300-00003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11</xdr:row>
          <xdr:rowOff>133350</xdr:rowOff>
        </xdr:from>
        <xdr:to>
          <xdr:col>9</xdr:col>
          <xdr:colOff>19050</xdr:colOff>
          <xdr:row>13</xdr:row>
          <xdr:rowOff>28575</xdr:rowOff>
        </xdr:to>
        <xdr:sp macro="" textlink="">
          <xdr:nvSpPr>
            <xdr:cNvPr id="20531" name="Check Box 51" hidden="1">
              <a:extLst>
                <a:ext uri="{63B3BB69-23CF-44E3-9099-C40C66FF867C}">
                  <a14:compatExt spid="_x0000_s20531"/>
                </a:ext>
                <a:ext uri="{FF2B5EF4-FFF2-40B4-BE49-F238E27FC236}">
                  <a16:creationId xmlns:a16="http://schemas.microsoft.com/office/drawing/2014/main" id="{00000000-0008-0000-0300-00003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11</xdr:row>
          <xdr:rowOff>133350</xdr:rowOff>
        </xdr:from>
        <xdr:to>
          <xdr:col>7</xdr:col>
          <xdr:colOff>38100</xdr:colOff>
          <xdr:row>13</xdr:row>
          <xdr:rowOff>28575</xdr:rowOff>
        </xdr:to>
        <xdr:sp macro="" textlink="">
          <xdr:nvSpPr>
            <xdr:cNvPr id="20532" name="Check Box 52" hidden="1">
              <a:extLst>
                <a:ext uri="{63B3BB69-23CF-44E3-9099-C40C66FF867C}">
                  <a14:compatExt spid="_x0000_s20532"/>
                </a:ext>
                <a:ext uri="{FF2B5EF4-FFF2-40B4-BE49-F238E27FC236}">
                  <a16:creationId xmlns:a16="http://schemas.microsoft.com/office/drawing/2014/main" id="{00000000-0008-0000-0300-00003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133350</xdr:rowOff>
        </xdr:from>
        <xdr:to>
          <xdr:col>2</xdr:col>
          <xdr:colOff>285750</xdr:colOff>
          <xdr:row>13</xdr:row>
          <xdr:rowOff>28575</xdr:rowOff>
        </xdr:to>
        <xdr:sp macro="" textlink="">
          <xdr:nvSpPr>
            <xdr:cNvPr id="20533" name="Check Box 53" hidden="1">
              <a:extLst>
                <a:ext uri="{63B3BB69-23CF-44E3-9099-C40C66FF867C}">
                  <a14:compatExt spid="_x0000_s20533"/>
                </a:ext>
                <a:ext uri="{FF2B5EF4-FFF2-40B4-BE49-F238E27FC236}">
                  <a16:creationId xmlns:a16="http://schemas.microsoft.com/office/drawing/2014/main" id="{00000000-0008-0000-0300-00003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12</xdr:row>
          <xdr:rowOff>133350</xdr:rowOff>
        </xdr:from>
        <xdr:to>
          <xdr:col>5</xdr:col>
          <xdr:colOff>57150</xdr:colOff>
          <xdr:row>14</xdr:row>
          <xdr:rowOff>28575</xdr:rowOff>
        </xdr:to>
        <xdr:sp macro="" textlink="">
          <xdr:nvSpPr>
            <xdr:cNvPr id="20534" name="Check Box 54" hidden="1">
              <a:extLst>
                <a:ext uri="{63B3BB69-23CF-44E3-9099-C40C66FF867C}">
                  <a14:compatExt spid="_x0000_s20534"/>
                </a:ext>
                <a:ext uri="{FF2B5EF4-FFF2-40B4-BE49-F238E27FC236}">
                  <a16:creationId xmlns:a16="http://schemas.microsoft.com/office/drawing/2014/main" id="{00000000-0008-0000-0300-00003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12</xdr:row>
          <xdr:rowOff>133350</xdr:rowOff>
        </xdr:from>
        <xdr:to>
          <xdr:col>9</xdr:col>
          <xdr:colOff>19050</xdr:colOff>
          <xdr:row>14</xdr:row>
          <xdr:rowOff>28575</xdr:rowOff>
        </xdr:to>
        <xdr:sp macro="" textlink="">
          <xdr:nvSpPr>
            <xdr:cNvPr id="20535" name="Check Box 55" hidden="1">
              <a:extLst>
                <a:ext uri="{63B3BB69-23CF-44E3-9099-C40C66FF867C}">
                  <a14:compatExt spid="_x0000_s20535"/>
                </a:ext>
                <a:ext uri="{FF2B5EF4-FFF2-40B4-BE49-F238E27FC236}">
                  <a16:creationId xmlns:a16="http://schemas.microsoft.com/office/drawing/2014/main" id="{00000000-0008-0000-03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12</xdr:row>
          <xdr:rowOff>133350</xdr:rowOff>
        </xdr:from>
        <xdr:to>
          <xdr:col>7</xdr:col>
          <xdr:colOff>38100</xdr:colOff>
          <xdr:row>14</xdr:row>
          <xdr:rowOff>28575</xdr:rowOff>
        </xdr:to>
        <xdr:sp macro="" textlink="">
          <xdr:nvSpPr>
            <xdr:cNvPr id="20536" name="Check Box 56" hidden="1">
              <a:extLst>
                <a:ext uri="{63B3BB69-23CF-44E3-9099-C40C66FF867C}">
                  <a14:compatExt spid="_x0000_s20536"/>
                </a:ext>
                <a:ext uri="{FF2B5EF4-FFF2-40B4-BE49-F238E27FC236}">
                  <a16:creationId xmlns:a16="http://schemas.microsoft.com/office/drawing/2014/main" id="{00000000-0008-0000-0300-00003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133350</xdr:rowOff>
        </xdr:from>
        <xdr:to>
          <xdr:col>2</xdr:col>
          <xdr:colOff>285750</xdr:colOff>
          <xdr:row>14</xdr:row>
          <xdr:rowOff>28575</xdr:rowOff>
        </xdr:to>
        <xdr:sp macro="" textlink="">
          <xdr:nvSpPr>
            <xdr:cNvPr id="20537" name="Check Box 57" hidden="1">
              <a:extLst>
                <a:ext uri="{63B3BB69-23CF-44E3-9099-C40C66FF867C}">
                  <a14:compatExt spid="_x0000_s20537"/>
                </a:ext>
                <a:ext uri="{FF2B5EF4-FFF2-40B4-BE49-F238E27FC236}">
                  <a16:creationId xmlns:a16="http://schemas.microsoft.com/office/drawing/2014/main" id="{00000000-0008-0000-03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866775</xdr:colOff>
          <xdr:row>13</xdr:row>
          <xdr:rowOff>133350</xdr:rowOff>
        </xdr:from>
        <xdr:to>
          <xdr:col>5</xdr:col>
          <xdr:colOff>57150</xdr:colOff>
          <xdr:row>15</xdr:row>
          <xdr:rowOff>28575</xdr:rowOff>
        </xdr:to>
        <xdr:sp macro="" textlink="">
          <xdr:nvSpPr>
            <xdr:cNvPr id="20538" name="Check Box 58" hidden="1">
              <a:extLst>
                <a:ext uri="{63B3BB69-23CF-44E3-9099-C40C66FF867C}">
                  <a14:compatExt spid="_x0000_s20538"/>
                </a:ext>
                <a:ext uri="{FF2B5EF4-FFF2-40B4-BE49-F238E27FC236}">
                  <a16:creationId xmlns:a16="http://schemas.microsoft.com/office/drawing/2014/main" id="{00000000-0008-0000-03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13</xdr:row>
          <xdr:rowOff>133350</xdr:rowOff>
        </xdr:from>
        <xdr:to>
          <xdr:col>9</xdr:col>
          <xdr:colOff>19050</xdr:colOff>
          <xdr:row>15</xdr:row>
          <xdr:rowOff>28575</xdr:rowOff>
        </xdr:to>
        <xdr:sp macro="" textlink="">
          <xdr:nvSpPr>
            <xdr:cNvPr id="20539" name="Check Box 59" hidden="1">
              <a:extLst>
                <a:ext uri="{63B3BB69-23CF-44E3-9099-C40C66FF867C}">
                  <a14:compatExt spid="_x0000_s20539"/>
                </a:ext>
                <a:ext uri="{FF2B5EF4-FFF2-40B4-BE49-F238E27FC236}">
                  <a16:creationId xmlns:a16="http://schemas.microsoft.com/office/drawing/2014/main" id="{00000000-0008-0000-0300-00003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1685925</xdr:colOff>
          <xdr:row>13</xdr:row>
          <xdr:rowOff>133350</xdr:rowOff>
        </xdr:from>
        <xdr:to>
          <xdr:col>7</xdr:col>
          <xdr:colOff>38100</xdr:colOff>
          <xdr:row>15</xdr:row>
          <xdr:rowOff>28575</xdr:rowOff>
        </xdr:to>
        <xdr:sp macro="" textlink="">
          <xdr:nvSpPr>
            <xdr:cNvPr id="20540" name="Check Box 60" hidden="1">
              <a:extLst>
                <a:ext uri="{63B3BB69-23CF-44E3-9099-C40C66FF867C}">
                  <a14:compatExt spid="_x0000_s20540"/>
                </a:ext>
                <a:ext uri="{FF2B5EF4-FFF2-40B4-BE49-F238E27FC236}">
                  <a16:creationId xmlns:a16="http://schemas.microsoft.com/office/drawing/2014/main" id="{00000000-0008-0000-03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133350</xdr:rowOff>
        </xdr:from>
        <xdr:to>
          <xdr:col>2</xdr:col>
          <xdr:colOff>285750</xdr:colOff>
          <xdr:row>15</xdr:row>
          <xdr:rowOff>28575</xdr:rowOff>
        </xdr:to>
        <xdr:sp macro="" textlink="">
          <xdr:nvSpPr>
            <xdr:cNvPr id="20541" name="Check Box 61" hidden="1">
              <a:extLst>
                <a:ext uri="{63B3BB69-23CF-44E3-9099-C40C66FF867C}">
                  <a14:compatExt spid="_x0000_s20541"/>
                </a:ext>
                <a:ext uri="{FF2B5EF4-FFF2-40B4-BE49-F238E27FC236}">
                  <a16:creationId xmlns:a16="http://schemas.microsoft.com/office/drawing/2014/main" id="{00000000-0008-0000-0300-00003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19050</xdr:rowOff>
        </xdr:from>
        <xdr:to>
          <xdr:col>1</xdr:col>
          <xdr:colOff>1257300</xdr:colOff>
          <xdr:row>2</xdr:row>
          <xdr:rowOff>152400</xdr:rowOff>
        </xdr:to>
        <xdr:sp macro="" textlink="">
          <xdr:nvSpPr>
            <xdr:cNvPr id="20559" name="Drop Down 79" hidden="1">
              <a:extLst>
                <a:ext uri="{63B3BB69-23CF-44E3-9099-C40C66FF867C}">
                  <a14:compatExt spid="_x0000_s20559"/>
                </a:ext>
                <a:ext uri="{FF2B5EF4-FFF2-40B4-BE49-F238E27FC236}">
                  <a16:creationId xmlns:a16="http://schemas.microsoft.com/office/drawing/2014/main" id="{00000000-0008-0000-0300-00004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xdr:row>
          <xdr:rowOff>19050</xdr:rowOff>
        </xdr:from>
        <xdr:to>
          <xdr:col>1</xdr:col>
          <xdr:colOff>1257300</xdr:colOff>
          <xdr:row>3</xdr:row>
          <xdr:rowOff>152400</xdr:rowOff>
        </xdr:to>
        <xdr:sp macro="" textlink="">
          <xdr:nvSpPr>
            <xdr:cNvPr id="20560" name="Drop Down 80" hidden="1">
              <a:extLst>
                <a:ext uri="{63B3BB69-23CF-44E3-9099-C40C66FF867C}">
                  <a14:compatExt spid="_x0000_s20560"/>
                </a:ext>
                <a:ext uri="{FF2B5EF4-FFF2-40B4-BE49-F238E27FC236}">
                  <a16:creationId xmlns:a16="http://schemas.microsoft.com/office/drawing/2014/main" id="{00000000-0008-0000-0300-00005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1257300</xdr:colOff>
          <xdr:row>4</xdr:row>
          <xdr:rowOff>152400</xdr:rowOff>
        </xdr:to>
        <xdr:sp macro="" textlink="">
          <xdr:nvSpPr>
            <xdr:cNvPr id="20561" name="Drop Down 81" hidden="1">
              <a:extLst>
                <a:ext uri="{63B3BB69-23CF-44E3-9099-C40C66FF867C}">
                  <a14:compatExt spid="_x0000_s20561"/>
                </a:ext>
                <a:ext uri="{FF2B5EF4-FFF2-40B4-BE49-F238E27FC236}">
                  <a16:creationId xmlns:a16="http://schemas.microsoft.com/office/drawing/2014/main" id="{00000000-0008-0000-0300-00005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1257300</xdr:colOff>
          <xdr:row>5</xdr:row>
          <xdr:rowOff>152400</xdr:rowOff>
        </xdr:to>
        <xdr:sp macro="" textlink="">
          <xdr:nvSpPr>
            <xdr:cNvPr id="20562" name="Drop Down 82" hidden="1">
              <a:extLst>
                <a:ext uri="{63B3BB69-23CF-44E3-9099-C40C66FF867C}">
                  <a14:compatExt spid="_x0000_s20562"/>
                </a:ext>
                <a:ext uri="{FF2B5EF4-FFF2-40B4-BE49-F238E27FC236}">
                  <a16:creationId xmlns:a16="http://schemas.microsoft.com/office/drawing/2014/main" id="{00000000-0008-0000-0300-00005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1257300</xdr:colOff>
          <xdr:row>6</xdr:row>
          <xdr:rowOff>152400</xdr:rowOff>
        </xdr:to>
        <xdr:sp macro="" textlink="">
          <xdr:nvSpPr>
            <xdr:cNvPr id="20563" name="Drop Down 83" hidden="1">
              <a:extLst>
                <a:ext uri="{63B3BB69-23CF-44E3-9099-C40C66FF867C}">
                  <a14:compatExt spid="_x0000_s20563"/>
                </a:ext>
                <a:ext uri="{FF2B5EF4-FFF2-40B4-BE49-F238E27FC236}">
                  <a16:creationId xmlns:a16="http://schemas.microsoft.com/office/drawing/2014/main" id="{00000000-0008-0000-0300-00005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1257300</xdr:colOff>
          <xdr:row>7</xdr:row>
          <xdr:rowOff>152400</xdr:rowOff>
        </xdr:to>
        <xdr:sp macro="" textlink="">
          <xdr:nvSpPr>
            <xdr:cNvPr id="20564" name="Drop Down 84" hidden="1">
              <a:extLst>
                <a:ext uri="{63B3BB69-23CF-44E3-9099-C40C66FF867C}">
                  <a14:compatExt spid="_x0000_s20564"/>
                </a:ext>
                <a:ext uri="{FF2B5EF4-FFF2-40B4-BE49-F238E27FC236}">
                  <a16:creationId xmlns:a16="http://schemas.microsoft.com/office/drawing/2014/main" id="{00000000-0008-0000-0300-00005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1257300</xdr:colOff>
          <xdr:row>8</xdr:row>
          <xdr:rowOff>152400</xdr:rowOff>
        </xdr:to>
        <xdr:sp macro="" textlink="">
          <xdr:nvSpPr>
            <xdr:cNvPr id="20565" name="Drop Down 85" hidden="1">
              <a:extLst>
                <a:ext uri="{63B3BB69-23CF-44E3-9099-C40C66FF867C}">
                  <a14:compatExt spid="_x0000_s20565"/>
                </a:ext>
                <a:ext uri="{FF2B5EF4-FFF2-40B4-BE49-F238E27FC236}">
                  <a16:creationId xmlns:a16="http://schemas.microsoft.com/office/drawing/2014/main" id="{00000000-0008-0000-0300-00005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1257300</xdr:colOff>
          <xdr:row>9</xdr:row>
          <xdr:rowOff>152400</xdr:rowOff>
        </xdr:to>
        <xdr:sp macro="" textlink="">
          <xdr:nvSpPr>
            <xdr:cNvPr id="20566" name="Drop Down 86" hidden="1">
              <a:extLst>
                <a:ext uri="{63B3BB69-23CF-44E3-9099-C40C66FF867C}">
                  <a14:compatExt spid="_x0000_s20566"/>
                </a:ext>
                <a:ext uri="{FF2B5EF4-FFF2-40B4-BE49-F238E27FC236}">
                  <a16:creationId xmlns:a16="http://schemas.microsoft.com/office/drawing/2014/main" id="{00000000-0008-0000-0300-00005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1257300</xdr:colOff>
          <xdr:row>10</xdr:row>
          <xdr:rowOff>152400</xdr:rowOff>
        </xdr:to>
        <xdr:sp macro="" textlink="">
          <xdr:nvSpPr>
            <xdr:cNvPr id="20567" name="Drop Down 87" hidden="1">
              <a:extLst>
                <a:ext uri="{63B3BB69-23CF-44E3-9099-C40C66FF867C}">
                  <a14:compatExt spid="_x0000_s20567"/>
                </a:ext>
                <a:ext uri="{FF2B5EF4-FFF2-40B4-BE49-F238E27FC236}">
                  <a16:creationId xmlns:a16="http://schemas.microsoft.com/office/drawing/2014/main" id="{00000000-0008-0000-0300-00005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1257300</xdr:colOff>
          <xdr:row>11</xdr:row>
          <xdr:rowOff>152400</xdr:rowOff>
        </xdr:to>
        <xdr:sp macro="" textlink="">
          <xdr:nvSpPr>
            <xdr:cNvPr id="20568" name="Drop Down 88" hidden="1">
              <a:extLst>
                <a:ext uri="{63B3BB69-23CF-44E3-9099-C40C66FF867C}">
                  <a14:compatExt spid="_x0000_s20568"/>
                </a:ext>
                <a:ext uri="{FF2B5EF4-FFF2-40B4-BE49-F238E27FC236}">
                  <a16:creationId xmlns:a16="http://schemas.microsoft.com/office/drawing/2014/main" id="{00000000-0008-0000-0300-00005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1257300</xdr:colOff>
          <xdr:row>12</xdr:row>
          <xdr:rowOff>152400</xdr:rowOff>
        </xdr:to>
        <xdr:sp macro="" textlink="">
          <xdr:nvSpPr>
            <xdr:cNvPr id="20569" name="Drop Down 89" hidden="1">
              <a:extLst>
                <a:ext uri="{63B3BB69-23CF-44E3-9099-C40C66FF867C}">
                  <a14:compatExt spid="_x0000_s20569"/>
                </a:ext>
                <a:ext uri="{FF2B5EF4-FFF2-40B4-BE49-F238E27FC236}">
                  <a16:creationId xmlns:a16="http://schemas.microsoft.com/office/drawing/2014/main" id="{00000000-0008-0000-0300-00005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1257300</xdr:colOff>
          <xdr:row>13</xdr:row>
          <xdr:rowOff>152400</xdr:rowOff>
        </xdr:to>
        <xdr:sp macro="" textlink="">
          <xdr:nvSpPr>
            <xdr:cNvPr id="20570" name="Drop Down 90" hidden="1">
              <a:extLst>
                <a:ext uri="{63B3BB69-23CF-44E3-9099-C40C66FF867C}">
                  <a14:compatExt spid="_x0000_s20570"/>
                </a:ext>
                <a:ext uri="{FF2B5EF4-FFF2-40B4-BE49-F238E27FC236}">
                  <a16:creationId xmlns:a16="http://schemas.microsoft.com/office/drawing/2014/main" id="{00000000-0008-0000-0300-00005A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1257300</xdr:colOff>
          <xdr:row>14</xdr:row>
          <xdr:rowOff>152400</xdr:rowOff>
        </xdr:to>
        <xdr:sp macro="" textlink="">
          <xdr:nvSpPr>
            <xdr:cNvPr id="20571" name="Drop Down 91" hidden="1">
              <a:extLst>
                <a:ext uri="{63B3BB69-23CF-44E3-9099-C40C66FF867C}">
                  <a14:compatExt spid="_x0000_s20571"/>
                </a:ext>
                <a:ext uri="{FF2B5EF4-FFF2-40B4-BE49-F238E27FC236}">
                  <a16:creationId xmlns:a16="http://schemas.microsoft.com/office/drawing/2014/main" id="{00000000-0008-0000-0300-00005B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5</xdr:row>
          <xdr:rowOff>9525</xdr:rowOff>
        </xdr:from>
        <xdr:to>
          <xdr:col>2</xdr:col>
          <xdr:colOff>371475</xdr:colOff>
          <xdr:row>5</xdr:row>
          <xdr:rowOff>142875</xdr:rowOff>
        </xdr:to>
        <xdr:sp macro="" textlink="">
          <xdr:nvSpPr>
            <xdr:cNvPr id="5146" name="Drop Dow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6</xdr:row>
          <xdr:rowOff>133350</xdr:rowOff>
        </xdr:from>
        <xdr:to>
          <xdr:col>2</xdr:col>
          <xdr:colOff>47625</xdr:colOff>
          <xdr:row>8</xdr:row>
          <xdr:rowOff>28575</xdr:rowOff>
        </xdr:to>
        <xdr:sp macro="" textlink="">
          <xdr:nvSpPr>
            <xdr:cNvPr id="5209" name="CheckBox_B8"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22</xdr:row>
          <xdr:rowOff>133350</xdr:rowOff>
        </xdr:from>
        <xdr:to>
          <xdr:col>3</xdr:col>
          <xdr:colOff>57150</xdr:colOff>
          <xdr:row>24</xdr:row>
          <xdr:rowOff>28575</xdr:rowOff>
        </xdr:to>
        <xdr:sp macro="" textlink="">
          <xdr:nvSpPr>
            <xdr:cNvPr id="5213" name="CheckBox_C24"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22</xdr:row>
          <xdr:rowOff>133350</xdr:rowOff>
        </xdr:from>
        <xdr:to>
          <xdr:col>7</xdr:col>
          <xdr:colOff>9525</xdr:colOff>
          <xdr:row>24</xdr:row>
          <xdr:rowOff>28575</xdr:rowOff>
        </xdr:to>
        <xdr:sp macro="" textlink="">
          <xdr:nvSpPr>
            <xdr:cNvPr id="5214" name="CheckBox_G24"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22</xdr:row>
          <xdr:rowOff>133350</xdr:rowOff>
        </xdr:from>
        <xdr:to>
          <xdr:col>5</xdr:col>
          <xdr:colOff>9525</xdr:colOff>
          <xdr:row>24</xdr:row>
          <xdr:rowOff>28575</xdr:rowOff>
        </xdr:to>
        <xdr:sp macro="" textlink="">
          <xdr:nvSpPr>
            <xdr:cNvPr id="5215" name="CheckBox_E24"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8</xdr:row>
          <xdr:rowOff>133350</xdr:rowOff>
        </xdr:from>
        <xdr:to>
          <xdr:col>2</xdr:col>
          <xdr:colOff>47625</xdr:colOff>
          <xdr:row>10</xdr:row>
          <xdr:rowOff>28575</xdr:rowOff>
        </xdr:to>
        <xdr:sp macro="" textlink="">
          <xdr:nvSpPr>
            <xdr:cNvPr id="5217" name="CheckBox_B10"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21</xdr:row>
          <xdr:rowOff>133350</xdr:rowOff>
        </xdr:from>
        <xdr:to>
          <xdr:col>3</xdr:col>
          <xdr:colOff>57150</xdr:colOff>
          <xdr:row>23</xdr:row>
          <xdr:rowOff>28575</xdr:rowOff>
        </xdr:to>
        <xdr:sp macro="" textlink="">
          <xdr:nvSpPr>
            <xdr:cNvPr id="5218" name="CheckBox_C23"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21</xdr:row>
          <xdr:rowOff>133350</xdr:rowOff>
        </xdr:from>
        <xdr:to>
          <xdr:col>7</xdr:col>
          <xdr:colOff>9525</xdr:colOff>
          <xdr:row>23</xdr:row>
          <xdr:rowOff>28575</xdr:rowOff>
        </xdr:to>
        <xdr:sp macro="" textlink="">
          <xdr:nvSpPr>
            <xdr:cNvPr id="5219" name="CheckBox_G23"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21</xdr:row>
          <xdr:rowOff>133350</xdr:rowOff>
        </xdr:from>
        <xdr:to>
          <xdr:col>5</xdr:col>
          <xdr:colOff>9525</xdr:colOff>
          <xdr:row>23</xdr:row>
          <xdr:rowOff>28575</xdr:rowOff>
        </xdr:to>
        <xdr:sp macro="" textlink="">
          <xdr:nvSpPr>
            <xdr:cNvPr id="5220" name="CheckBox_E23"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18</xdr:row>
          <xdr:rowOff>133350</xdr:rowOff>
        </xdr:from>
        <xdr:to>
          <xdr:col>3</xdr:col>
          <xdr:colOff>57150</xdr:colOff>
          <xdr:row>20</xdr:row>
          <xdr:rowOff>28575</xdr:rowOff>
        </xdr:to>
        <xdr:sp macro="" textlink="">
          <xdr:nvSpPr>
            <xdr:cNvPr id="5221" name="CheckBox_C20"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18</xdr:row>
          <xdr:rowOff>133350</xdr:rowOff>
        </xdr:from>
        <xdr:to>
          <xdr:col>7</xdr:col>
          <xdr:colOff>9525</xdr:colOff>
          <xdr:row>20</xdr:row>
          <xdr:rowOff>28575</xdr:rowOff>
        </xdr:to>
        <xdr:sp macro="" textlink="">
          <xdr:nvSpPr>
            <xdr:cNvPr id="5222" name="CheckBox_G20"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18</xdr:row>
          <xdr:rowOff>133350</xdr:rowOff>
        </xdr:from>
        <xdr:to>
          <xdr:col>5</xdr:col>
          <xdr:colOff>9525</xdr:colOff>
          <xdr:row>20</xdr:row>
          <xdr:rowOff>28575</xdr:rowOff>
        </xdr:to>
        <xdr:sp macro="" textlink="">
          <xdr:nvSpPr>
            <xdr:cNvPr id="5223" name="CheckBox_E20"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19</xdr:row>
          <xdr:rowOff>133350</xdr:rowOff>
        </xdr:from>
        <xdr:to>
          <xdr:col>3</xdr:col>
          <xdr:colOff>57150</xdr:colOff>
          <xdr:row>21</xdr:row>
          <xdr:rowOff>28575</xdr:rowOff>
        </xdr:to>
        <xdr:sp macro="" textlink="">
          <xdr:nvSpPr>
            <xdr:cNvPr id="5224" name="CheckBox_C21"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19</xdr:row>
          <xdr:rowOff>133350</xdr:rowOff>
        </xdr:from>
        <xdr:to>
          <xdr:col>7</xdr:col>
          <xdr:colOff>9525</xdr:colOff>
          <xdr:row>21</xdr:row>
          <xdr:rowOff>28575</xdr:rowOff>
        </xdr:to>
        <xdr:sp macro="" textlink="">
          <xdr:nvSpPr>
            <xdr:cNvPr id="5225" name="CheckBox_G21"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19</xdr:row>
          <xdr:rowOff>133350</xdr:rowOff>
        </xdr:from>
        <xdr:to>
          <xdr:col>5</xdr:col>
          <xdr:colOff>9525</xdr:colOff>
          <xdr:row>21</xdr:row>
          <xdr:rowOff>28575</xdr:rowOff>
        </xdr:to>
        <xdr:sp macro="" textlink="">
          <xdr:nvSpPr>
            <xdr:cNvPr id="5226" name="CheckBox_E21"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20</xdr:row>
          <xdr:rowOff>133350</xdr:rowOff>
        </xdr:from>
        <xdr:to>
          <xdr:col>3</xdr:col>
          <xdr:colOff>57150</xdr:colOff>
          <xdr:row>22</xdr:row>
          <xdr:rowOff>28575</xdr:rowOff>
        </xdr:to>
        <xdr:sp macro="" textlink="">
          <xdr:nvSpPr>
            <xdr:cNvPr id="5227" name="CheckBox_C22"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20</xdr:row>
          <xdr:rowOff>133350</xdr:rowOff>
        </xdr:from>
        <xdr:to>
          <xdr:col>7</xdr:col>
          <xdr:colOff>9525</xdr:colOff>
          <xdr:row>22</xdr:row>
          <xdr:rowOff>28575</xdr:rowOff>
        </xdr:to>
        <xdr:sp macro="" textlink="">
          <xdr:nvSpPr>
            <xdr:cNvPr id="5228" name="CheckBox_G22"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20</xdr:row>
          <xdr:rowOff>133350</xdr:rowOff>
        </xdr:from>
        <xdr:to>
          <xdr:col>5</xdr:col>
          <xdr:colOff>9525</xdr:colOff>
          <xdr:row>22</xdr:row>
          <xdr:rowOff>28575</xdr:rowOff>
        </xdr:to>
        <xdr:sp macro="" textlink="">
          <xdr:nvSpPr>
            <xdr:cNvPr id="5229" name="CheckBox_E22"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23</xdr:row>
          <xdr:rowOff>133350</xdr:rowOff>
        </xdr:from>
        <xdr:to>
          <xdr:col>3</xdr:col>
          <xdr:colOff>57150</xdr:colOff>
          <xdr:row>25</xdr:row>
          <xdr:rowOff>28575</xdr:rowOff>
        </xdr:to>
        <xdr:sp macro="" textlink="">
          <xdr:nvSpPr>
            <xdr:cNvPr id="5230" name="CheckBox_C25"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23</xdr:row>
          <xdr:rowOff>133350</xdr:rowOff>
        </xdr:from>
        <xdr:to>
          <xdr:col>7</xdr:col>
          <xdr:colOff>9525</xdr:colOff>
          <xdr:row>25</xdr:row>
          <xdr:rowOff>28575</xdr:rowOff>
        </xdr:to>
        <xdr:sp macro="" textlink="">
          <xdr:nvSpPr>
            <xdr:cNvPr id="5231" name="CheckBox_G25"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23</xdr:row>
          <xdr:rowOff>133350</xdr:rowOff>
        </xdr:from>
        <xdr:to>
          <xdr:col>5</xdr:col>
          <xdr:colOff>9525</xdr:colOff>
          <xdr:row>25</xdr:row>
          <xdr:rowOff>28575</xdr:rowOff>
        </xdr:to>
        <xdr:sp macro="" textlink="">
          <xdr:nvSpPr>
            <xdr:cNvPr id="5232" name="CheckBox_E25"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24</xdr:row>
          <xdr:rowOff>133350</xdr:rowOff>
        </xdr:from>
        <xdr:to>
          <xdr:col>3</xdr:col>
          <xdr:colOff>57150</xdr:colOff>
          <xdr:row>26</xdr:row>
          <xdr:rowOff>28575</xdr:rowOff>
        </xdr:to>
        <xdr:sp macro="" textlink="">
          <xdr:nvSpPr>
            <xdr:cNvPr id="5233" name="CheckBox_C26"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24</xdr:row>
          <xdr:rowOff>133350</xdr:rowOff>
        </xdr:from>
        <xdr:to>
          <xdr:col>7</xdr:col>
          <xdr:colOff>9525</xdr:colOff>
          <xdr:row>26</xdr:row>
          <xdr:rowOff>28575</xdr:rowOff>
        </xdr:to>
        <xdr:sp macro="" textlink="">
          <xdr:nvSpPr>
            <xdr:cNvPr id="5234" name="CheckBox_G26"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24</xdr:row>
          <xdr:rowOff>133350</xdr:rowOff>
        </xdr:from>
        <xdr:to>
          <xdr:col>5</xdr:col>
          <xdr:colOff>9525</xdr:colOff>
          <xdr:row>26</xdr:row>
          <xdr:rowOff>28575</xdr:rowOff>
        </xdr:to>
        <xdr:sp macro="" textlink="">
          <xdr:nvSpPr>
            <xdr:cNvPr id="5235" name="CheckBox_E26"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27</xdr:row>
          <xdr:rowOff>133350</xdr:rowOff>
        </xdr:from>
        <xdr:to>
          <xdr:col>3</xdr:col>
          <xdr:colOff>57150</xdr:colOff>
          <xdr:row>29</xdr:row>
          <xdr:rowOff>28575</xdr:rowOff>
        </xdr:to>
        <xdr:sp macro="" textlink="">
          <xdr:nvSpPr>
            <xdr:cNvPr id="5236" name="CheckBox_C29"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27</xdr:row>
          <xdr:rowOff>133350</xdr:rowOff>
        </xdr:from>
        <xdr:to>
          <xdr:col>7</xdr:col>
          <xdr:colOff>9525</xdr:colOff>
          <xdr:row>29</xdr:row>
          <xdr:rowOff>28575</xdr:rowOff>
        </xdr:to>
        <xdr:sp macro="" textlink="">
          <xdr:nvSpPr>
            <xdr:cNvPr id="5237" name="CheckBox_G29"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27</xdr:row>
          <xdr:rowOff>133350</xdr:rowOff>
        </xdr:from>
        <xdr:to>
          <xdr:col>5</xdr:col>
          <xdr:colOff>9525</xdr:colOff>
          <xdr:row>29</xdr:row>
          <xdr:rowOff>28575</xdr:rowOff>
        </xdr:to>
        <xdr:sp macro="" textlink="">
          <xdr:nvSpPr>
            <xdr:cNvPr id="5238" name="CheckBox_E29"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28</xdr:row>
          <xdr:rowOff>133350</xdr:rowOff>
        </xdr:from>
        <xdr:to>
          <xdr:col>3</xdr:col>
          <xdr:colOff>57150</xdr:colOff>
          <xdr:row>30</xdr:row>
          <xdr:rowOff>28575</xdr:rowOff>
        </xdr:to>
        <xdr:sp macro="" textlink="">
          <xdr:nvSpPr>
            <xdr:cNvPr id="5239" name="CheckBox_C30"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28</xdr:row>
          <xdr:rowOff>133350</xdr:rowOff>
        </xdr:from>
        <xdr:to>
          <xdr:col>7</xdr:col>
          <xdr:colOff>9525</xdr:colOff>
          <xdr:row>30</xdr:row>
          <xdr:rowOff>28575</xdr:rowOff>
        </xdr:to>
        <xdr:sp macro="" textlink="">
          <xdr:nvSpPr>
            <xdr:cNvPr id="5240" name="CheckBox_G30"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28</xdr:row>
          <xdr:rowOff>133350</xdr:rowOff>
        </xdr:from>
        <xdr:to>
          <xdr:col>5</xdr:col>
          <xdr:colOff>9525</xdr:colOff>
          <xdr:row>30</xdr:row>
          <xdr:rowOff>28575</xdr:rowOff>
        </xdr:to>
        <xdr:sp macro="" textlink="">
          <xdr:nvSpPr>
            <xdr:cNvPr id="5241" name="CheckBox_E30"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29</xdr:row>
          <xdr:rowOff>142875</xdr:rowOff>
        </xdr:from>
        <xdr:to>
          <xdr:col>3</xdr:col>
          <xdr:colOff>57150</xdr:colOff>
          <xdr:row>31</xdr:row>
          <xdr:rowOff>28575</xdr:rowOff>
        </xdr:to>
        <xdr:sp macro="" textlink="">
          <xdr:nvSpPr>
            <xdr:cNvPr id="5245" name="CheckBox_C31"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29</xdr:row>
          <xdr:rowOff>142875</xdr:rowOff>
        </xdr:from>
        <xdr:to>
          <xdr:col>7</xdr:col>
          <xdr:colOff>9525</xdr:colOff>
          <xdr:row>31</xdr:row>
          <xdr:rowOff>28575</xdr:rowOff>
        </xdr:to>
        <xdr:sp macro="" textlink="">
          <xdr:nvSpPr>
            <xdr:cNvPr id="5246" name="CheckBox_G31"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29</xdr:row>
          <xdr:rowOff>142875</xdr:rowOff>
        </xdr:from>
        <xdr:to>
          <xdr:col>5</xdr:col>
          <xdr:colOff>9525</xdr:colOff>
          <xdr:row>31</xdr:row>
          <xdr:rowOff>28575</xdr:rowOff>
        </xdr:to>
        <xdr:sp macro="" textlink="">
          <xdr:nvSpPr>
            <xdr:cNvPr id="5247" name="CheckBox_E31"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30</xdr:row>
          <xdr:rowOff>133350</xdr:rowOff>
        </xdr:from>
        <xdr:to>
          <xdr:col>3</xdr:col>
          <xdr:colOff>57150</xdr:colOff>
          <xdr:row>32</xdr:row>
          <xdr:rowOff>28575</xdr:rowOff>
        </xdr:to>
        <xdr:sp macro="" textlink="">
          <xdr:nvSpPr>
            <xdr:cNvPr id="5248" name="CheckBox_C32"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30</xdr:row>
          <xdr:rowOff>133350</xdr:rowOff>
        </xdr:from>
        <xdr:to>
          <xdr:col>7</xdr:col>
          <xdr:colOff>9525</xdr:colOff>
          <xdr:row>32</xdr:row>
          <xdr:rowOff>28575</xdr:rowOff>
        </xdr:to>
        <xdr:sp macro="" textlink="">
          <xdr:nvSpPr>
            <xdr:cNvPr id="5249" name="CheckBox_G32"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30</xdr:row>
          <xdr:rowOff>133350</xdr:rowOff>
        </xdr:from>
        <xdr:to>
          <xdr:col>5</xdr:col>
          <xdr:colOff>9525</xdr:colOff>
          <xdr:row>32</xdr:row>
          <xdr:rowOff>28575</xdr:rowOff>
        </xdr:to>
        <xdr:sp macro="" textlink="">
          <xdr:nvSpPr>
            <xdr:cNvPr id="5250" name="CheckBox_E32"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33</xdr:row>
          <xdr:rowOff>133350</xdr:rowOff>
        </xdr:from>
        <xdr:to>
          <xdr:col>3</xdr:col>
          <xdr:colOff>57150</xdr:colOff>
          <xdr:row>35</xdr:row>
          <xdr:rowOff>28575</xdr:rowOff>
        </xdr:to>
        <xdr:sp macro="" textlink="">
          <xdr:nvSpPr>
            <xdr:cNvPr id="5251" name="CheckBox_C35"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33</xdr:row>
          <xdr:rowOff>133350</xdr:rowOff>
        </xdr:from>
        <xdr:to>
          <xdr:col>7</xdr:col>
          <xdr:colOff>9525</xdr:colOff>
          <xdr:row>35</xdr:row>
          <xdr:rowOff>28575</xdr:rowOff>
        </xdr:to>
        <xdr:sp macro="" textlink="">
          <xdr:nvSpPr>
            <xdr:cNvPr id="5252" name="CheckBox_G35"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33</xdr:row>
          <xdr:rowOff>133350</xdr:rowOff>
        </xdr:from>
        <xdr:to>
          <xdr:col>5</xdr:col>
          <xdr:colOff>9525</xdr:colOff>
          <xdr:row>35</xdr:row>
          <xdr:rowOff>28575</xdr:rowOff>
        </xdr:to>
        <xdr:sp macro="" textlink="">
          <xdr:nvSpPr>
            <xdr:cNvPr id="5253" name="CheckBox_E35"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34</xdr:row>
          <xdr:rowOff>133350</xdr:rowOff>
        </xdr:from>
        <xdr:to>
          <xdr:col>3</xdr:col>
          <xdr:colOff>57150</xdr:colOff>
          <xdr:row>36</xdr:row>
          <xdr:rowOff>28575</xdr:rowOff>
        </xdr:to>
        <xdr:sp macro="" textlink="">
          <xdr:nvSpPr>
            <xdr:cNvPr id="5254" name="CheckBox_C36"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34</xdr:row>
          <xdr:rowOff>133350</xdr:rowOff>
        </xdr:from>
        <xdr:to>
          <xdr:col>7</xdr:col>
          <xdr:colOff>9525</xdr:colOff>
          <xdr:row>36</xdr:row>
          <xdr:rowOff>28575</xdr:rowOff>
        </xdr:to>
        <xdr:sp macro="" textlink="">
          <xdr:nvSpPr>
            <xdr:cNvPr id="5255" name="CheckBox_G36"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34</xdr:row>
          <xdr:rowOff>133350</xdr:rowOff>
        </xdr:from>
        <xdr:to>
          <xdr:col>5</xdr:col>
          <xdr:colOff>9525</xdr:colOff>
          <xdr:row>36</xdr:row>
          <xdr:rowOff>28575</xdr:rowOff>
        </xdr:to>
        <xdr:sp macro="" textlink="">
          <xdr:nvSpPr>
            <xdr:cNvPr id="5256" name="CheckBox_E36"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35</xdr:row>
          <xdr:rowOff>133350</xdr:rowOff>
        </xdr:from>
        <xdr:to>
          <xdr:col>3</xdr:col>
          <xdr:colOff>57150</xdr:colOff>
          <xdr:row>37</xdr:row>
          <xdr:rowOff>28575</xdr:rowOff>
        </xdr:to>
        <xdr:sp macro="" textlink="">
          <xdr:nvSpPr>
            <xdr:cNvPr id="5257" name="CheckBox_C37"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35</xdr:row>
          <xdr:rowOff>133350</xdr:rowOff>
        </xdr:from>
        <xdr:to>
          <xdr:col>7</xdr:col>
          <xdr:colOff>9525</xdr:colOff>
          <xdr:row>37</xdr:row>
          <xdr:rowOff>28575</xdr:rowOff>
        </xdr:to>
        <xdr:sp macro="" textlink="">
          <xdr:nvSpPr>
            <xdr:cNvPr id="5258" name="CheckBox_G37"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35</xdr:row>
          <xdr:rowOff>133350</xdr:rowOff>
        </xdr:from>
        <xdr:to>
          <xdr:col>5</xdr:col>
          <xdr:colOff>9525</xdr:colOff>
          <xdr:row>37</xdr:row>
          <xdr:rowOff>28575</xdr:rowOff>
        </xdr:to>
        <xdr:sp macro="" textlink="">
          <xdr:nvSpPr>
            <xdr:cNvPr id="5259" name="CheckBox_E37"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37</xdr:row>
          <xdr:rowOff>133350</xdr:rowOff>
        </xdr:from>
        <xdr:to>
          <xdr:col>3</xdr:col>
          <xdr:colOff>57150</xdr:colOff>
          <xdr:row>39</xdr:row>
          <xdr:rowOff>28575</xdr:rowOff>
        </xdr:to>
        <xdr:sp macro="" textlink="">
          <xdr:nvSpPr>
            <xdr:cNvPr id="5260" name="CheckBox_C39"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37</xdr:row>
          <xdr:rowOff>133350</xdr:rowOff>
        </xdr:from>
        <xdr:to>
          <xdr:col>7</xdr:col>
          <xdr:colOff>9525</xdr:colOff>
          <xdr:row>39</xdr:row>
          <xdr:rowOff>28575</xdr:rowOff>
        </xdr:to>
        <xdr:sp macro="" textlink="">
          <xdr:nvSpPr>
            <xdr:cNvPr id="5261" name="CheckBox_G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37</xdr:row>
          <xdr:rowOff>133350</xdr:rowOff>
        </xdr:from>
        <xdr:to>
          <xdr:col>5</xdr:col>
          <xdr:colOff>9525</xdr:colOff>
          <xdr:row>39</xdr:row>
          <xdr:rowOff>28575</xdr:rowOff>
        </xdr:to>
        <xdr:sp macro="" textlink="">
          <xdr:nvSpPr>
            <xdr:cNvPr id="5262" name="CheckBox_E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38</xdr:row>
          <xdr:rowOff>133350</xdr:rowOff>
        </xdr:from>
        <xdr:to>
          <xdr:col>3</xdr:col>
          <xdr:colOff>57150</xdr:colOff>
          <xdr:row>40</xdr:row>
          <xdr:rowOff>28575</xdr:rowOff>
        </xdr:to>
        <xdr:sp macro="" textlink="">
          <xdr:nvSpPr>
            <xdr:cNvPr id="5263" name="CheckBox_C40"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38</xdr:row>
          <xdr:rowOff>133350</xdr:rowOff>
        </xdr:from>
        <xdr:to>
          <xdr:col>7</xdr:col>
          <xdr:colOff>9525</xdr:colOff>
          <xdr:row>40</xdr:row>
          <xdr:rowOff>28575</xdr:rowOff>
        </xdr:to>
        <xdr:sp macro="" textlink="">
          <xdr:nvSpPr>
            <xdr:cNvPr id="5264" name="CheckBox_G40"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38</xdr:row>
          <xdr:rowOff>133350</xdr:rowOff>
        </xdr:from>
        <xdr:to>
          <xdr:col>5</xdr:col>
          <xdr:colOff>9525</xdr:colOff>
          <xdr:row>40</xdr:row>
          <xdr:rowOff>28575</xdr:rowOff>
        </xdr:to>
        <xdr:sp macro="" textlink="">
          <xdr:nvSpPr>
            <xdr:cNvPr id="5265" name="CheckBox_E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36</xdr:row>
          <xdr:rowOff>133350</xdr:rowOff>
        </xdr:from>
        <xdr:to>
          <xdr:col>3</xdr:col>
          <xdr:colOff>57150</xdr:colOff>
          <xdr:row>38</xdr:row>
          <xdr:rowOff>28575</xdr:rowOff>
        </xdr:to>
        <xdr:sp macro="" textlink="">
          <xdr:nvSpPr>
            <xdr:cNvPr id="5266" name="CheckBox_C38"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36</xdr:row>
          <xdr:rowOff>133350</xdr:rowOff>
        </xdr:from>
        <xdr:to>
          <xdr:col>7</xdr:col>
          <xdr:colOff>9525</xdr:colOff>
          <xdr:row>38</xdr:row>
          <xdr:rowOff>28575</xdr:rowOff>
        </xdr:to>
        <xdr:sp macro="" textlink="">
          <xdr:nvSpPr>
            <xdr:cNvPr id="5267" name="CheckBox_G38"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36</xdr:row>
          <xdr:rowOff>133350</xdr:rowOff>
        </xdr:from>
        <xdr:to>
          <xdr:col>5</xdr:col>
          <xdr:colOff>9525</xdr:colOff>
          <xdr:row>38</xdr:row>
          <xdr:rowOff>28575</xdr:rowOff>
        </xdr:to>
        <xdr:sp macro="" textlink="">
          <xdr:nvSpPr>
            <xdr:cNvPr id="5268" name="CheckBox_E38"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7</xdr:row>
          <xdr:rowOff>133350</xdr:rowOff>
        </xdr:from>
        <xdr:to>
          <xdr:col>2</xdr:col>
          <xdr:colOff>47625</xdr:colOff>
          <xdr:row>9</xdr:row>
          <xdr:rowOff>28575</xdr:rowOff>
        </xdr:to>
        <xdr:sp macro="" textlink="">
          <xdr:nvSpPr>
            <xdr:cNvPr id="5273" name="CheckBox_B9"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39</xdr:row>
          <xdr:rowOff>133350</xdr:rowOff>
        </xdr:from>
        <xdr:to>
          <xdr:col>3</xdr:col>
          <xdr:colOff>57150</xdr:colOff>
          <xdr:row>41</xdr:row>
          <xdr:rowOff>28575</xdr:rowOff>
        </xdr:to>
        <xdr:sp macro="" textlink="">
          <xdr:nvSpPr>
            <xdr:cNvPr id="5274" name="CheckBox_C41"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39</xdr:row>
          <xdr:rowOff>133350</xdr:rowOff>
        </xdr:from>
        <xdr:to>
          <xdr:col>7</xdr:col>
          <xdr:colOff>9525</xdr:colOff>
          <xdr:row>41</xdr:row>
          <xdr:rowOff>28575</xdr:rowOff>
        </xdr:to>
        <xdr:sp macro="" textlink="">
          <xdr:nvSpPr>
            <xdr:cNvPr id="5275" name="CheckBox_G41"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39</xdr:row>
          <xdr:rowOff>133350</xdr:rowOff>
        </xdr:from>
        <xdr:to>
          <xdr:col>5</xdr:col>
          <xdr:colOff>9525</xdr:colOff>
          <xdr:row>41</xdr:row>
          <xdr:rowOff>28575</xdr:rowOff>
        </xdr:to>
        <xdr:sp macro="" textlink="">
          <xdr:nvSpPr>
            <xdr:cNvPr id="5276" name="CheckBox_E41"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40</xdr:row>
          <xdr:rowOff>133350</xdr:rowOff>
        </xdr:from>
        <xdr:to>
          <xdr:col>3</xdr:col>
          <xdr:colOff>57150</xdr:colOff>
          <xdr:row>42</xdr:row>
          <xdr:rowOff>28575</xdr:rowOff>
        </xdr:to>
        <xdr:sp macro="" textlink="">
          <xdr:nvSpPr>
            <xdr:cNvPr id="5277" name="CheckBox_C42"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40</xdr:row>
          <xdr:rowOff>133350</xdr:rowOff>
        </xdr:from>
        <xdr:to>
          <xdr:col>7</xdr:col>
          <xdr:colOff>9525</xdr:colOff>
          <xdr:row>42</xdr:row>
          <xdr:rowOff>28575</xdr:rowOff>
        </xdr:to>
        <xdr:sp macro="" textlink="">
          <xdr:nvSpPr>
            <xdr:cNvPr id="5278" name="CheckBox_G42"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40</xdr:row>
          <xdr:rowOff>133350</xdr:rowOff>
        </xdr:from>
        <xdr:to>
          <xdr:col>5</xdr:col>
          <xdr:colOff>9525</xdr:colOff>
          <xdr:row>42</xdr:row>
          <xdr:rowOff>28575</xdr:rowOff>
        </xdr:to>
        <xdr:sp macro="" textlink="">
          <xdr:nvSpPr>
            <xdr:cNvPr id="5279" name="CheckBox_E42"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41</xdr:row>
          <xdr:rowOff>133350</xdr:rowOff>
        </xdr:from>
        <xdr:to>
          <xdr:col>3</xdr:col>
          <xdr:colOff>57150</xdr:colOff>
          <xdr:row>43</xdr:row>
          <xdr:rowOff>28575</xdr:rowOff>
        </xdr:to>
        <xdr:sp macro="" textlink="">
          <xdr:nvSpPr>
            <xdr:cNvPr id="5280" name="CheckBox_C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41</xdr:row>
          <xdr:rowOff>133350</xdr:rowOff>
        </xdr:from>
        <xdr:to>
          <xdr:col>7</xdr:col>
          <xdr:colOff>9525</xdr:colOff>
          <xdr:row>43</xdr:row>
          <xdr:rowOff>28575</xdr:rowOff>
        </xdr:to>
        <xdr:sp macro="" textlink="">
          <xdr:nvSpPr>
            <xdr:cNvPr id="5281" name="CheckBox_G43"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41</xdr:row>
          <xdr:rowOff>133350</xdr:rowOff>
        </xdr:from>
        <xdr:to>
          <xdr:col>5</xdr:col>
          <xdr:colOff>9525</xdr:colOff>
          <xdr:row>43</xdr:row>
          <xdr:rowOff>28575</xdr:rowOff>
        </xdr:to>
        <xdr:sp macro="" textlink="">
          <xdr:nvSpPr>
            <xdr:cNvPr id="5282" name="CheckBox_E43"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42</xdr:row>
          <xdr:rowOff>133350</xdr:rowOff>
        </xdr:from>
        <xdr:to>
          <xdr:col>3</xdr:col>
          <xdr:colOff>57150</xdr:colOff>
          <xdr:row>44</xdr:row>
          <xdr:rowOff>28575</xdr:rowOff>
        </xdr:to>
        <xdr:sp macro="" textlink="">
          <xdr:nvSpPr>
            <xdr:cNvPr id="5283" name="CheckBox_C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42</xdr:row>
          <xdr:rowOff>133350</xdr:rowOff>
        </xdr:from>
        <xdr:to>
          <xdr:col>7</xdr:col>
          <xdr:colOff>9525</xdr:colOff>
          <xdr:row>44</xdr:row>
          <xdr:rowOff>28575</xdr:rowOff>
        </xdr:to>
        <xdr:sp macro="" textlink="">
          <xdr:nvSpPr>
            <xdr:cNvPr id="5284" name="CheckBox_G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42</xdr:row>
          <xdr:rowOff>133350</xdr:rowOff>
        </xdr:from>
        <xdr:to>
          <xdr:col>5</xdr:col>
          <xdr:colOff>9525</xdr:colOff>
          <xdr:row>44</xdr:row>
          <xdr:rowOff>28575</xdr:rowOff>
        </xdr:to>
        <xdr:sp macro="" textlink="">
          <xdr:nvSpPr>
            <xdr:cNvPr id="5285" name="CheckBox_E44"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45</xdr:row>
          <xdr:rowOff>133350</xdr:rowOff>
        </xdr:from>
        <xdr:to>
          <xdr:col>3</xdr:col>
          <xdr:colOff>57150</xdr:colOff>
          <xdr:row>47</xdr:row>
          <xdr:rowOff>28575</xdr:rowOff>
        </xdr:to>
        <xdr:sp macro="" textlink="">
          <xdr:nvSpPr>
            <xdr:cNvPr id="5286" name="CheckBox_C47"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45</xdr:row>
          <xdr:rowOff>133350</xdr:rowOff>
        </xdr:from>
        <xdr:to>
          <xdr:col>7</xdr:col>
          <xdr:colOff>0</xdr:colOff>
          <xdr:row>47</xdr:row>
          <xdr:rowOff>28575</xdr:rowOff>
        </xdr:to>
        <xdr:sp macro="" textlink="">
          <xdr:nvSpPr>
            <xdr:cNvPr id="5287" name="CheckBox_G47"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45</xdr:row>
          <xdr:rowOff>133350</xdr:rowOff>
        </xdr:from>
        <xdr:to>
          <xdr:col>5</xdr:col>
          <xdr:colOff>9525</xdr:colOff>
          <xdr:row>47</xdr:row>
          <xdr:rowOff>28575</xdr:rowOff>
        </xdr:to>
        <xdr:sp macro="" textlink="">
          <xdr:nvSpPr>
            <xdr:cNvPr id="5288" name="CheckBox_E47"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47</xdr:row>
          <xdr:rowOff>142875</xdr:rowOff>
        </xdr:from>
        <xdr:to>
          <xdr:col>3</xdr:col>
          <xdr:colOff>57150</xdr:colOff>
          <xdr:row>49</xdr:row>
          <xdr:rowOff>38100</xdr:rowOff>
        </xdr:to>
        <xdr:sp macro="" textlink="">
          <xdr:nvSpPr>
            <xdr:cNvPr id="5289" name="CheckBox_C49"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47</xdr:row>
          <xdr:rowOff>142875</xdr:rowOff>
        </xdr:from>
        <xdr:to>
          <xdr:col>7</xdr:col>
          <xdr:colOff>9525</xdr:colOff>
          <xdr:row>49</xdr:row>
          <xdr:rowOff>38100</xdr:rowOff>
        </xdr:to>
        <xdr:sp macro="" textlink="">
          <xdr:nvSpPr>
            <xdr:cNvPr id="5290" name="CheckBox_G49"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47</xdr:row>
          <xdr:rowOff>142875</xdr:rowOff>
        </xdr:from>
        <xdr:to>
          <xdr:col>5</xdr:col>
          <xdr:colOff>9525</xdr:colOff>
          <xdr:row>49</xdr:row>
          <xdr:rowOff>38100</xdr:rowOff>
        </xdr:to>
        <xdr:sp macro="" textlink="">
          <xdr:nvSpPr>
            <xdr:cNvPr id="5291" name="CheckBox_E49"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48</xdr:row>
          <xdr:rowOff>133350</xdr:rowOff>
        </xdr:from>
        <xdr:to>
          <xdr:col>3</xdr:col>
          <xdr:colOff>57150</xdr:colOff>
          <xdr:row>50</xdr:row>
          <xdr:rowOff>28575</xdr:rowOff>
        </xdr:to>
        <xdr:sp macro="" textlink="">
          <xdr:nvSpPr>
            <xdr:cNvPr id="5304" name="CheckBox_C50"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48</xdr:row>
          <xdr:rowOff>133350</xdr:rowOff>
        </xdr:from>
        <xdr:to>
          <xdr:col>7</xdr:col>
          <xdr:colOff>0</xdr:colOff>
          <xdr:row>50</xdr:row>
          <xdr:rowOff>28575</xdr:rowOff>
        </xdr:to>
        <xdr:sp macro="" textlink="">
          <xdr:nvSpPr>
            <xdr:cNvPr id="5305" name="CheckBox_G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48</xdr:row>
          <xdr:rowOff>133350</xdr:rowOff>
        </xdr:from>
        <xdr:to>
          <xdr:col>5</xdr:col>
          <xdr:colOff>9525</xdr:colOff>
          <xdr:row>50</xdr:row>
          <xdr:rowOff>28575</xdr:rowOff>
        </xdr:to>
        <xdr:sp macro="" textlink="">
          <xdr:nvSpPr>
            <xdr:cNvPr id="5306" name="CheckBox_E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49</xdr:row>
          <xdr:rowOff>133350</xdr:rowOff>
        </xdr:from>
        <xdr:to>
          <xdr:col>3</xdr:col>
          <xdr:colOff>57150</xdr:colOff>
          <xdr:row>51</xdr:row>
          <xdr:rowOff>28575</xdr:rowOff>
        </xdr:to>
        <xdr:sp macro="" textlink="">
          <xdr:nvSpPr>
            <xdr:cNvPr id="5307" name="CheckBox_C51"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49</xdr:row>
          <xdr:rowOff>133350</xdr:rowOff>
        </xdr:from>
        <xdr:to>
          <xdr:col>7</xdr:col>
          <xdr:colOff>9525</xdr:colOff>
          <xdr:row>51</xdr:row>
          <xdr:rowOff>28575</xdr:rowOff>
        </xdr:to>
        <xdr:sp macro="" textlink="">
          <xdr:nvSpPr>
            <xdr:cNvPr id="5308" name="CheckBox_G51"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49</xdr:row>
          <xdr:rowOff>133350</xdr:rowOff>
        </xdr:from>
        <xdr:to>
          <xdr:col>5</xdr:col>
          <xdr:colOff>9525</xdr:colOff>
          <xdr:row>51</xdr:row>
          <xdr:rowOff>28575</xdr:rowOff>
        </xdr:to>
        <xdr:sp macro="" textlink="">
          <xdr:nvSpPr>
            <xdr:cNvPr id="5309" name="CheckBox_E51" hidden="1">
              <a:extLst>
                <a:ext uri="{63B3BB69-23CF-44E3-9099-C40C66FF867C}">
                  <a14:compatExt spid="_x0000_s5309"/>
                </a:ext>
                <a:ext uri="{FF2B5EF4-FFF2-40B4-BE49-F238E27FC236}">
                  <a16:creationId xmlns:a16="http://schemas.microsoft.com/office/drawing/2014/main" id="{00000000-0008-0000-0400-0000B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53</xdr:row>
          <xdr:rowOff>142875</xdr:rowOff>
        </xdr:from>
        <xdr:to>
          <xdr:col>3</xdr:col>
          <xdr:colOff>57150</xdr:colOff>
          <xdr:row>55</xdr:row>
          <xdr:rowOff>38100</xdr:rowOff>
        </xdr:to>
        <xdr:sp macro="" textlink="">
          <xdr:nvSpPr>
            <xdr:cNvPr id="5313" name="CheckBox_C55" hidden="1">
              <a:extLst>
                <a:ext uri="{63B3BB69-23CF-44E3-9099-C40C66FF867C}">
                  <a14:compatExt spid="_x0000_s5313"/>
                </a:ext>
                <a:ext uri="{FF2B5EF4-FFF2-40B4-BE49-F238E27FC236}">
                  <a16:creationId xmlns:a16="http://schemas.microsoft.com/office/drawing/2014/main" id="{00000000-0008-0000-0400-0000C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53</xdr:row>
          <xdr:rowOff>142875</xdr:rowOff>
        </xdr:from>
        <xdr:to>
          <xdr:col>7</xdr:col>
          <xdr:colOff>9525</xdr:colOff>
          <xdr:row>55</xdr:row>
          <xdr:rowOff>38100</xdr:rowOff>
        </xdr:to>
        <xdr:sp macro="" textlink="">
          <xdr:nvSpPr>
            <xdr:cNvPr id="5314" name="CheckBox_G55" hidden="1">
              <a:extLst>
                <a:ext uri="{63B3BB69-23CF-44E3-9099-C40C66FF867C}">
                  <a14:compatExt spid="_x0000_s5314"/>
                </a:ext>
                <a:ext uri="{FF2B5EF4-FFF2-40B4-BE49-F238E27FC236}">
                  <a16:creationId xmlns:a16="http://schemas.microsoft.com/office/drawing/2014/main" id="{00000000-0008-0000-0400-0000C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53</xdr:row>
          <xdr:rowOff>142875</xdr:rowOff>
        </xdr:from>
        <xdr:to>
          <xdr:col>5</xdr:col>
          <xdr:colOff>9525</xdr:colOff>
          <xdr:row>55</xdr:row>
          <xdr:rowOff>38100</xdr:rowOff>
        </xdr:to>
        <xdr:sp macro="" textlink="">
          <xdr:nvSpPr>
            <xdr:cNvPr id="5315" name="CheckBox_E55" hidden="1">
              <a:extLst>
                <a:ext uri="{63B3BB69-23CF-44E3-9099-C40C66FF867C}">
                  <a14:compatExt spid="_x0000_s5315"/>
                </a:ext>
                <a:ext uri="{FF2B5EF4-FFF2-40B4-BE49-F238E27FC236}">
                  <a16:creationId xmlns:a16="http://schemas.microsoft.com/office/drawing/2014/main" id="{00000000-0008-0000-0400-0000C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54</xdr:row>
          <xdr:rowOff>133350</xdr:rowOff>
        </xdr:from>
        <xdr:to>
          <xdr:col>3</xdr:col>
          <xdr:colOff>57150</xdr:colOff>
          <xdr:row>56</xdr:row>
          <xdr:rowOff>28575</xdr:rowOff>
        </xdr:to>
        <xdr:sp macro="" textlink="">
          <xdr:nvSpPr>
            <xdr:cNvPr id="5316" name="CheckBox_C56" hidden="1">
              <a:extLst>
                <a:ext uri="{63B3BB69-23CF-44E3-9099-C40C66FF867C}">
                  <a14:compatExt spid="_x0000_s5316"/>
                </a:ext>
                <a:ext uri="{FF2B5EF4-FFF2-40B4-BE49-F238E27FC236}">
                  <a16:creationId xmlns:a16="http://schemas.microsoft.com/office/drawing/2014/main" id="{00000000-0008-0000-0400-0000C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54</xdr:row>
          <xdr:rowOff>133350</xdr:rowOff>
        </xdr:from>
        <xdr:to>
          <xdr:col>7</xdr:col>
          <xdr:colOff>0</xdr:colOff>
          <xdr:row>56</xdr:row>
          <xdr:rowOff>28575</xdr:rowOff>
        </xdr:to>
        <xdr:sp macro="" textlink="">
          <xdr:nvSpPr>
            <xdr:cNvPr id="5317" name="CheckBox_G56" hidden="1">
              <a:extLst>
                <a:ext uri="{63B3BB69-23CF-44E3-9099-C40C66FF867C}">
                  <a14:compatExt spid="_x0000_s5317"/>
                </a:ext>
                <a:ext uri="{FF2B5EF4-FFF2-40B4-BE49-F238E27FC236}">
                  <a16:creationId xmlns:a16="http://schemas.microsoft.com/office/drawing/2014/main" id="{00000000-0008-0000-0400-0000C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54</xdr:row>
          <xdr:rowOff>133350</xdr:rowOff>
        </xdr:from>
        <xdr:to>
          <xdr:col>5</xdr:col>
          <xdr:colOff>9525</xdr:colOff>
          <xdr:row>56</xdr:row>
          <xdr:rowOff>28575</xdr:rowOff>
        </xdr:to>
        <xdr:sp macro="" textlink="">
          <xdr:nvSpPr>
            <xdr:cNvPr id="5318" name="CheckBox_E56" hidden="1">
              <a:extLst>
                <a:ext uri="{63B3BB69-23CF-44E3-9099-C40C66FF867C}">
                  <a14:compatExt spid="_x0000_s5318"/>
                </a:ext>
                <a:ext uri="{FF2B5EF4-FFF2-40B4-BE49-F238E27FC236}">
                  <a16:creationId xmlns:a16="http://schemas.microsoft.com/office/drawing/2014/main" id="{00000000-0008-0000-0400-0000C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55</xdr:row>
          <xdr:rowOff>133350</xdr:rowOff>
        </xdr:from>
        <xdr:to>
          <xdr:col>3</xdr:col>
          <xdr:colOff>57150</xdr:colOff>
          <xdr:row>57</xdr:row>
          <xdr:rowOff>28575</xdr:rowOff>
        </xdr:to>
        <xdr:sp macro="" textlink="">
          <xdr:nvSpPr>
            <xdr:cNvPr id="5319" name="CheckBox_C57" hidden="1">
              <a:extLst>
                <a:ext uri="{63B3BB69-23CF-44E3-9099-C40C66FF867C}">
                  <a14:compatExt spid="_x0000_s5319"/>
                </a:ext>
                <a:ext uri="{FF2B5EF4-FFF2-40B4-BE49-F238E27FC236}">
                  <a16:creationId xmlns:a16="http://schemas.microsoft.com/office/drawing/2014/main" id="{00000000-0008-0000-0400-0000C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55</xdr:row>
          <xdr:rowOff>133350</xdr:rowOff>
        </xdr:from>
        <xdr:to>
          <xdr:col>7</xdr:col>
          <xdr:colOff>9525</xdr:colOff>
          <xdr:row>57</xdr:row>
          <xdr:rowOff>28575</xdr:rowOff>
        </xdr:to>
        <xdr:sp macro="" textlink="">
          <xdr:nvSpPr>
            <xdr:cNvPr id="5320" name="CheckBox_G57" hidden="1">
              <a:extLst>
                <a:ext uri="{63B3BB69-23CF-44E3-9099-C40C66FF867C}">
                  <a14:compatExt spid="_x0000_s5320"/>
                </a:ext>
                <a:ext uri="{FF2B5EF4-FFF2-40B4-BE49-F238E27FC236}">
                  <a16:creationId xmlns:a16="http://schemas.microsoft.com/office/drawing/2014/main" id="{00000000-0008-0000-0400-0000C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55</xdr:row>
          <xdr:rowOff>133350</xdr:rowOff>
        </xdr:from>
        <xdr:to>
          <xdr:col>5</xdr:col>
          <xdr:colOff>9525</xdr:colOff>
          <xdr:row>57</xdr:row>
          <xdr:rowOff>28575</xdr:rowOff>
        </xdr:to>
        <xdr:sp macro="" textlink="">
          <xdr:nvSpPr>
            <xdr:cNvPr id="5321" name="CheckBox_E57" hidden="1">
              <a:extLst>
                <a:ext uri="{63B3BB69-23CF-44E3-9099-C40C66FF867C}">
                  <a14:compatExt spid="_x0000_s5321"/>
                </a:ext>
                <a:ext uri="{FF2B5EF4-FFF2-40B4-BE49-F238E27FC236}">
                  <a16:creationId xmlns:a16="http://schemas.microsoft.com/office/drawing/2014/main" id="{00000000-0008-0000-0400-0000C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56</xdr:row>
          <xdr:rowOff>133350</xdr:rowOff>
        </xdr:from>
        <xdr:to>
          <xdr:col>3</xdr:col>
          <xdr:colOff>57150</xdr:colOff>
          <xdr:row>58</xdr:row>
          <xdr:rowOff>28575</xdr:rowOff>
        </xdr:to>
        <xdr:sp macro="" textlink="">
          <xdr:nvSpPr>
            <xdr:cNvPr id="5322" name="CheckBox_C58" hidden="1">
              <a:extLst>
                <a:ext uri="{63B3BB69-23CF-44E3-9099-C40C66FF867C}">
                  <a14:compatExt spid="_x0000_s5322"/>
                </a:ext>
                <a:ext uri="{FF2B5EF4-FFF2-40B4-BE49-F238E27FC236}">
                  <a16:creationId xmlns:a16="http://schemas.microsoft.com/office/drawing/2014/main" id="{00000000-0008-0000-0400-0000C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56</xdr:row>
          <xdr:rowOff>133350</xdr:rowOff>
        </xdr:from>
        <xdr:to>
          <xdr:col>7</xdr:col>
          <xdr:colOff>9525</xdr:colOff>
          <xdr:row>58</xdr:row>
          <xdr:rowOff>28575</xdr:rowOff>
        </xdr:to>
        <xdr:sp macro="" textlink="">
          <xdr:nvSpPr>
            <xdr:cNvPr id="5323" name="CheckBox_G58" hidden="1">
              <a:extLst>
                <a:ext uri="{63B3BB69-23CF-44E3-9099-C40C66FF867C}">
                  <a14:compatExt spid="_x0000_s5323"/>
                </a:ext>
                <a:ext uri="{FF2B5EF4-FFF2-40B4-BE49-F238E27FC236}">
                  <a16:creationId xmlns:a16="http://schemas.microsoft.com/office/drawing/2014/main" id="{00000000-0008-0000-0400-0000C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56</xdr:row>
          <xdr:rowOff>133350</xdr:rowOff>
        </xdr:from>
        <xdr:to>
          <xdr:col>5</xdr:col>
          <xdr:colOff>9525</xdr:colOff>
          <xdr:row>58</xdr:row>
          <xdr:rowOff>28575</xdr:rowOff>
        </xdr:to>
        <xdr:sp macro="" textlink="">
          <xdr:nvSpPr>
            <xdr:cNvPr id="5324" name="CheckBox_E58" hidden="1">
              <a:extLst>
                <a:ext uri="{63B3BB69-23CF-44E3-9099-C40C66FF867C}">
                  <a14:compatExt spid="_x0000_s5324"/>
                </a:ext>
                <a:ext uri="{FF2B5EF4-FFF2-40B4-BE49-F238E27FC236}">
                  <a16:creationId xmlns:a16="http://schemas.microsoft.com/office/drawing/2014/main" id="{00000000-0008-0000-0400-0000C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57</xdr:row>
          <xdr:rowOff>133350</xdr:rowOff>
        </xdr:from>
        <xdr:to>
          <xdr:col>3</xdr:col>
          <xdr:colOff>57150</xdr:colOff>
          <xdr:row>59</xdr:row>
          <xdr:rowOff>28575</xdr:rowOff>
        </xdr:to>
        <xdr:sp macro="" textlink="">
          <xdr:nvSpPr>
            <xdr:cNvPr id="5325" name="CheckBox_C59" hidden="1">
              <a:extLst>
                <a:ext uri="{63B3BB69-23CF-44E3-9099-C40C66FF867C}">
                  <a14:compatExt spid="_x0000_s5325"/>
                </a:ext>
                <a:ext uri="{FF2B5EF4-FFF2-40B4-BE49-F238E27FC236}">
                  <a16:creationId xmlns:a16="http://schemas.microsoft.com/office/drawing/2014/main" id="{00000000-0008-0000-0400-0000C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57</xdr:row>
          <xdr:rowOff>133350</xdr:rowOff>
        </xdr:from>
        <xdr:to>
          <xdr:col>7</xdr:col>
          <xdr:colOff>9525</xdr:colOff>
          <xdr:row>59</xdr:row>
          <xdr:rowOff>28575</xdr:rowOff>
        </xdr:to>
        <xdr:sp macro="" textlink="">
          <xdr:nvSpPr>
            <xdr:cNvPr id="5326" name="CheckBox_G59" hidden="1">
              <a:extLst>
                <a:ext uri="{63B3BB69-23CF-44E3-9099-C40C66FF867C}">
                  <a14:compatExt spid="_x0000_s5326"/>
                </a:ext>
                <a:ext uri="{FF2B5EF4-FFF2-40B4-BE49-F238E27FC236}">
                  <a16:creationId xmlns:a16="http://schemas.microsoft.com/office/drawing/2014/main" id="{00000000-0008-0000-0400-0000C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57</xdr:row>
          <xdr:rowOff>133350</xdr:rowOff>
        </xdr:from>
        <xdr:to>
          <xdr:col>5</xdr:col>
          <xdr:colOff>9525</xdr:colOff>
          <xdr:row>59</xdr:row>
          <xdr:rowOff>28575</xdr:rowOff>
        </xdr:to>
        <xdr:sp macro="" textlink="">
          <xdr:nvSpPr>
            <xdr:cNvPr id="5327" name="CheckBox_E59" hidden="1">
              <a:extLst>
                <a:ext uri="{63B3BB69-23CF-44E3-9099-C40C66FF867C}">
                  <a14:compatExt spid="_x0000_s5327"/>
                </a:ext>
                <a:ext uri="{FF2B5EF4-FFF2-40B4-BE49-F238E27FC236}">
                  <a16:creationId xmlns:a16="http://schemas.microsoft.com/office/drawing/2014/main" id="{00000000-0008-0000-0400-0000C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58</xdr:row>
          <xdr:rowOff>133350</xdr:rowOff>
        </xdr:from>
        <xdr:to>
          <xdr:col>3</xdr:col>
          <xdr:colOff>57150</xdr:colOff>
          <xdr:row>60</xdr:row>
          <xdr:rowOff>28575</xdr:rowOff>
        </xdr:to>
        <xdr:sp macro="" textlink="">
          <xdr:nvSpPr>
            <xdr:cNvPr id="5328" name="CheckBox_C60" hidden="1">
              <a:extLst>
                <a:ext uri="{63B3BB69-23CF-44E3-9099-C40C66FF867C}">
                  <a14:compatExt spid="_x0000_s5328"/>
                </a:ext>
                <a:ext uri="{FF2B5EF4-FFF2-40B4-BE49-F238E27FC236}">
                  <a16:creationId xmlns:a16="http://schemas.microsoft.com/office/drawing/2014/main" id="{00000000-0008-0000-0400-0000D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58</xdr:row>
          <xdr:rowOff>133350</xdr:rowOff>
        </xdr:from>
        <xdr:to>
          <xdr:col>7</xdr:col>
          <xdr:colOff>9525</xdr:colOff>
          <xdr:row>60</xdr:row>
          <xdr:rowOff>28575</xdr:rowOff>
        </xdr:to>
        <xdr:sp macro="" textlink="">
          <xdr:nvSpPr>
            <xdr:cNvPr id="5329" name="CheckBox_G60" hidden="1">
              <a:extLst>
                <a:ext uri="{63B3BB69-23CF-44E3-9099-C40C66FF867C}">
                  <a14:compatExt spid="_x0000_s5329"/>
                </a:ext>
                <a:ext uri="{FF2B5EF4-FFF2-40B4-BE49-F238E27FC236}">
                  <a16:creationId xmlns:a16="http://schemas.microsoft.com/office/drawing/2014/main" id="{00000000-0008-0000-0400-0000D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58</xdr:row>
          <xdr:rowOff>133350</xdr:rowOff>
        </xdr:from>
        <xdr:to>
          <xdr:col>5</xdr:col>
          <xdr:colOff>9525</xdr:colOff>
          <xdr:row>60</xdr:row>
          <xdr:rowOff>28575</xdr:rowOff>
        </xdr:to>
        <xdr:sp macro="" textlink="">
          <xdr:nvSpPr>
            <xdr:cNvPr id="5330" name="CheckBox_E60" hidden="1">
              <a:extLst>
                <a:ext uri="{63B3BB69-23CF-44E3-9099-C40C66FF867C}">
                  <a14:compatExt spid="_x0000_s5330"/>
                </a:ext>
                <a:ext uri="{FF2B5EF4-FFF2-40B4-BE49-F238E27FC236}">
                  <a16:creationId xmlns:a16="http://schemas.microsoft.com/office/drawing/2014/main" id="{00000000-0008-0000-0400-0000D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59</xdr:row>
          <xdr:rowOff>133350</xdr:rowOff>
        </xdr:from>
        <xdr:to>
          <xdr:col>3</xdr:col>
          <xdr:colOff>57150</xdr:colOff>
          <xdr:row>61</xdr:row>
          <xdr:rowOff>28575</xdr:rowOff>
        </xdr:to>
        <xdr:sp macro="" textlink="">
          <xdr:nvSpPr>
            <xdr:cNvPr id="5331" name="CheckBox_C61" hidden="1">
              <a:extLst>
                <a:ext uri="{63B3BB69-23CF-44E3-9099-C40C66FF867C}">
                  <a14:compatExt spid="_x0000_s5331"/>
                </a:ext>
                <a:ext uri="{FF2B5EF4-FFF2-40B4-BE49-F238E27FC236}">
                  <a16:creationId xmlns:a16="http://schemas.microsoft.com/office/drawing/2014/main" id="{00000000-0008-0000-0400-0000D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59</xdr:row>
          <xdr:rowOff>133350</xdr:rowOff>
        </xdr:from>
        <xdr:to>
          <xdr:col>7</xdr:col>
          <xdr:colOff>9525</xdr:colOff>
          <xdr:row>61</xdr:row>
          <xdr:rowOff>28575</xdr:rowOff>
        </xdr:to>
        <xdr:sp macro="" textlink="">
          <xdr:nvSpPr>
            <xdr:cNvPr id="5332" name="CheckBox_G61" hidden="1">
              <a:extLst>
                <a:ext uri="{63B3BB69-23CF-44E3-9099-C40C66FF867C}">
                  <a14:compatExt spid="_x0000_s5332"/>
                </a:ext>
                <a:ext uri="{FF2B5EF4-FFF2-40B4-BE49-F238E27FC236}">
                  <a16:creationId xmlns:a16="http://schemas.microsoft.com/office/drawing/2014/main" id="{00000000-0008-0000-0400-0000D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59</xdr:row>
          <xdr:rowOff>133350</xdr:rowOff>
        </xdr:from>
        <xdr:to>
          <xdr:col>5</xdr:col>
          <xdr:colOff>9525</xdr:colOff>
          <xdr:row>61</xdr:row>
          <xdr:rowOff>28575</xdr:rowOff>
        </xdr:to>
        <xdr:sp macro="" textlink="">
          <xdr:nvSpPr>
            <xdr:cNvPr id="5333" name="CheckBox_E61" hidden="1">
              <a:extLst>
                <a:ext uri="{63B3BB69-23CF-44E3-9099-C40C66FF867C}">
                  <a14:compatExt spid="_x0000_s5333"/>
                </a:ext>
                <a:ext uri="{FF2B5EF4-FFF2-40B4-BE49-F238E27FC236}">
                  <a16:creationId xmlns:a16="http://schemas.microsoft.com/office/drawing/2014/main" id="{00000000-0008-0000-0400-0000D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60</xdr:row>
          <xdr:rowOff>133350</xdr:rowOff>
        </xdr:from>
        <xdr:to>
          <xdr:col>3</xdr:col>
          <xdr:colOff>57150</xdr:colOff>
          <xdr:row>62</xdr:row>
          <xdr:rowOff>28575</xdr:rowOff>
        </xdr:to>
        <xdr:sp macro="" textlink="">
          <xdr:nvSpPr>
            <xdr:cNvPr id="5334" name="CheckBox_C62" hidden="1">
              <a:extLst>
                <a:ext uri="{63B3BB69-23CF-44E3-9099-C40C66FF867C}">
                  <a14:compatExt spid="_x0000_s5334"/>
                </a:ext>
                <a:ext uri="{FF2B5EF4-FFF2-40B4-BE49-F238E27FC236}">
                  <a16:creationId xmlns:a16="http://schemas.microsoft.com/office/drawing/2014/main" id="{00000000-0008-0000-0400-0000D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60</xdr:row>
          <xdr:rowOff>133350</xdr:rowOff>
        </xdr:from>
        <xdr:to>
          <xdr:col>7</xdr:col>
          <xdr:colOff>9525</xdr:colOff>
          <xdr:row>62</xdr:row>
          <xdr:rowOff>28575</xdr:rowOff>
        </xdr:to>
        <xdr:sp macro="" textlink="">
          <xdr:nvSpPr>
            <xdr:cNvPr id="5335" name="CheckBox_G62" hidden="1">
              <a:extLst>
                <a:ext uri="{63B3BB69-23CF-44E3-9099-C40C66FF867C}">
                  <a14:compatExt spid="_x0000_s5335"/>
                </a:ext>
                <a:ext uri="{FF2B5EF4-FFF2-40B4-BE49-F238E27FC236}">
                  <a16:creationId xmlns:a16="http://schemas.microsoft.com/office/drawing/2014/main" id="{00000000-0008-0000-0400-0000D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60</xdr:row>
          <xdr:rowOff>133350</xdr:rowOff>
        </xdr:from>
        <xdr:to>
          <xdr:col>5</xdr:col>
          <xdr:colOff>9525</xdr:colOff>
          <xdr:row>62</xdr:row>
          <xdr:rowOff>28575</xdr:rowOff>
        </xdr:to>
        <xdr:sp macro="" textlink="">
          <xdr:nvSpPr>
            <xdr:cNvPr id="5336" name="CheckBox_E62" hidden="1">
              <a:extLst>
                <a:ext uri="{63B3BB69-23CF-44E3-9099-C40C66FF867C}">
                  <a14:compatExt spid="_x0000_s5336"/>
                </a:ext>
                <a:ext uri="{FF2B5EF4-FFF2-40B4-BE49-F238E27FC236}">
                  <a16:creationId xmlns:a16="http://schemas.microsoft.com/office/drawing/2014/main" id="{00000000-0008-0000-0400-0000D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61</xdr:row>
          <xdr:rowOff>133350</xdr:rowOff>
        </xdr:from>
        <xdr:to>
          <xdr:col>3</xdr:col>
          <xdr:colOff>57150</xdr:colOff>
          <xdr:row>63</xdr:row>
          <xdr:rowOff>28575</xdr:rowOff>
        </xdr:to>
        <xdr:sp macro="" textlink="">
          <xdr:nvSpPr>
            <xdr:cNvPr id="5337" name="CheckBox_C63" hidden="1">
              <a:extLst>
                <a:ext uri="{63B3BB69-23CF-44E3-9099-C40C66FF867C}">
                  <a14:compatExt spid="_x0000_s5337"/>
                </a:ext>
                <a:ext uri="{FF2B5EF4-FFF2-40B4-BE49-F238E27FC236}">
                  <a16:creationId xmlns:a16="http://schemas.microsoft.com/office/drawing/2014/main" id="{00000000-0008-0000-0400-0000D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61</xdr:row>
          <xdr:rowOff>133350</xdr:rowOff>
        </xdr:from>
        <xdr:to>
          <xdr:col>7</xdr:col>
          <xdr:colOff>9525</xdr:colOff>
          <xdr:row>63</xdr:row>
          <xdr:rowOff>28575</xdr:rowOff>
        </xdr:to>
        <xdr:sp macro="" textlink="">
          <xdr:nvSpPr>
            <xdr:cNvPr id="5338" name="CheckBox_G63" hidden="1">
              <a:extLst>
                <a:ext uri="{63B3BB69-23CF-44E3-9099-C40C66FF867C}">
                  <a14:compatExt spid="_x0000_s5338"/>
                </a:ext>
                <a:ext uri="{FF2B5EF4-FFF2-40B4-BE49-F238E27FC236}">
                  <a16:creationId xmlns:a16="http://schemas.microsoft.com/office/drawing/2014/main" id="{00000000-0008-0000-0400-0000D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61</xdr:row>
          <xdr:rowOff>133350</xdr:rowOff>
        </xdr:from>
        <xdr:to>
          <xdr:col>5</xdr:col>
          <xdr:colOff>9525</xdr:colOff>
          <xdr:row>63</xdr:row>
          <xdr:rowOff>28575</xdr:rowOff>
        </xdr:to>
        <xdr:sp macro="" textlink="">
          <xdr:nvSpPr>
            <xdr:cNvPr id="5339" name="CheckBox_E63" hidden="1">
              <a:extLst>
                <a:ext uri="{63B3BB69-23CF-44E3-9099-C40C66FF867C}">
                  <a14:compatExt spid="_x0000_s5339"/>
                </a:ext>
                <a:ext uri="{FF2B5EF4-FFF2-40B4-BE49-F238E27FC236}">
                  <a16:creationId xmlns:a16="http://schemas.microsoft.com/office/drawing/2014/main" id="{00000000-0008-0000-0400-0000D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62</xdr:row>
          <xdr:rowOff>133350</xdr:rowOff>
        </xdr:from>
        <xdr:to>
          <xdr:col>3</xdr:col>
          <xdr:colOff>57150</xdr:colOff>
          <xdr:row>64</xdr:row>
          <xdr:rowOff>28575</xdr:rowOff>
        </xdr:to>
        <xdr:sp macro="" textlink="">
          <xdr:nvSpPr>
            <xdr:cNvPr id="5340" name="CheckBox_C64" hidden="1">
              <a:extLst>
                <a:ext uri="{63B3BB69-23CF-44E3-9099-C40C66FF867C}">
                  <a14:compatExt spid="_x0000_s5340"/>
                </a:ext>
                <a:ext uri="{FF2B5EF4-FFF2-40B4-BE49-F238E27FC236}">
                  <a16:creationId xmlns:a16="http://schemas.microsoft.com/office/drawing/2014/main" id="{00000000-0008-0000-0400-0000D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62</xdr:row>
          <xdr:rowOff>133350</xdr:rowOff>
        </xdr:from>
        <xdr:to>
          <xdr:col>7</xdr:col>
          <xdr:colOff>9525</xdr:colOff>
          <xdr:row>64</xdr:row>
          <xdr:rowOff>28575</xdr:rowOff>
        </xdr:to>
        <xdr:sp macro="" textlink="">
          <xdr:nvSpPr>
            <xdr:cNvPr id="5341" name="CheckBox_G64" hidden="1">
              <a:extLst>
                <a:ext uri="{63B3BB69-23CF-44E3-9099-C40C66FF867C}">
                  <a14:compatExt spid="_x0000_s5341"/>
                </a:ext>
                <a:ext uri="{FF2B5EF4-FFF2-40B4-BE49-F238E27FC236}">
                  <a16:creationId xmlns:a16="http://schemas.microsoft.com/office/drawing/2014/main" id="{00000000-0008-0000-0400-0000D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62</xdr:row>
          <xdr:rowOff>133350</xdr:rowOff>
        </xdr:from>
        <xdr:to>
          <xdr:col>5</xdr:col>
          <xdr:colOff>9525</xdr:colOff>
          <xdr:row>64</xdr:row>
          <xdr:rowOff>28575</xdr:rowOff>
        </xdr:to>
        <xdr:sp macro="" textlink="">
          <xdr:nvSpPr>
            <xdr:cNvPr id="5342" name="CheckBox_E64" hidden="1">
              <a:extLst>
                <a:ext uri="{63B3BB69-23CF-44E3-9099-C40C66FF867C}">
                  <a14:compatExt spid="_x0000_s5342"/>
                </a:ext>
                <a:ext uri="{FF2B5EF4-FFF2-40B4-BE49-F238E27FC236}">
                  <a16:creationId xmlns:a16="http://schemas.microsoft.com/office/drawing/2014/main" id="{00000000-0008-0000-0400-0000D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63</xdr:row>
          <xdr:rowOff>133350</xdr:rowOff>
        </xdr:from>
        <xdr:to>
          <xdr:col>3</xdr:col>
          <xdr:colOff>57150</xdr:colOff>
          <xdr:row>65</xdr:row>
          <xdr:rowOff>28575</xdr:rowOff>
        </xdr:to>
        <xdr:sp macro="" textlink="">
          <xdr:nvSpPr>
            <xdr:cNvPr id="5343" name="CheckBox_C65" hidden="1">
              <a:extLst>
                <a:ext uri="{63B3BB69-23CF-44E3-9099-C40C66FF867C}">
                  <a14:compatExt spid="_x0000_s5343"/>
                </a:ext>
                <a:ext uri="{FF2B5EF4-FFF2-40B4-BE49-F238E27FC236}">
                  <a16:creationId xmlns:a16="http://schemas.microsoft.com/office/drawing/2014/main" id="{00000000-0008-0000-0400-0000D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63</xdr:row>
          <xdr:rowOff>133350</xdr:rowOff>
        </xdr:from>
        <xdr:to>
          <xdr:col>7</xdr:col>
          <xdr:colOff>9525</xdr:colOff>
          <xdr:row>65</xdr:row>
          <xdr:rowOff>28575</xdr:rowOff>
        </xdr:to>
        <xdr:sp macro="" textlink="">
          <xdr:nvSpPr>
            <xdr:cNvPr id="5344" name="CheckBox_G65" hidden="1">
              <a:extLst>
                <a:ext uri="{63B3BB69-23CF-44E3-9099-C40C66FF867C}">
                  <a14:compatExt spid="_x0000_s5344"/>
                </a:ext>
                <a:ext uri="{FF2B5EF4-FFF2-40B4-BE49-F238E27FC236}">
                  <a16:creationId xmlns:a16="http://schemas.microsoft.com/office/drawing/2014/main" id="{00000000-0008-0000-0400-0000E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63</xdr:row>
          <xdr:rowOff>133350</xdr:rowOff>
        </xdr:from>
        <xdr:to>
          <xdr:col>5</xdr:col>
          <xdr:colOff>9525</xdr:colOff>
          <xdr:row>65</xdr:row>
          <xdr:rowOff>28575</xdr:rowOff>
        </xdr:to>
        <xdr:sp macro="" textlink="">
          <xdr:nvSpPr>
            <xdr:cNvPr id="5345" name="CheckBox_E65" hidden="1">
              <a:extLst>
                <a:ext uri="{63B3BB69-23CF-44E3-9099-C40C66FF867C}">
                  <a14:compatExt spid="_x0000_s5345"/>
                </a:ext>
                <a:ext uri="{FF2B5EF4-FFF2-40B4-BE49-F238E27FC236}">
                  <a16:creationId xmlns:a16="http://schemas.microsoft.com/office/drawing/2014/main" id="{00000000-0008-0000-0400-0000E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64</xdr:row>
          <xdr:rowOff>133350</xdr:rowOff>
        </xdr:from>
        <xdr:to>
          <xdr:col>3</xdr:col>
          <xdr:colOff>57150</xdr:colOff>
          <xdr:row>66</xdr:row>
          <xdr:rowOff>28575</xdr:rowOff>
        </xdr:to>
        <xdr:sp macro="" textlink="">
          <xdr:nvSpPr>
            <xdr:cNvPr id="5346" name="CheckBox_C66" hidden="1">
              <a:extLst>
                <a:ext uri="{63B3BB69-23CF-44E3-9099-C40C66FF867C}">
                  <a14:compatExt spid="_x0000_s5346"/>
                </a:ext>
                <a:ext uri="{FF2B5EF4-FFF2-40B4-BE49-F238E27FC236}">
                  <a16:creationId xmlns:a16="http://schemas.microsoft.com/office/drawing/2014/main" id="{00000000-0008-0000-0400-0000E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64</xdr:row>
          <xdr:rowOff>133350</xdr:rowOff>
        </xdr:from>
        <xdr:to>
          <xdr:col>7</xdr:col>
          <xdr:colOff>9525</xdr:colOff>
          <xdr:row>66</xdr:row>
          <xdr:rowOff>28575</xdr:rowOff>
        </xdr:to>
        <xdr:sp macro="" textlink="">
          <xdr:nvSpPr>
            <xdr:cNvPr id="5347" name="CheckBox_G66" hidden="1">
              <a:extLst>
                <a:ext uri="{63B3BB69-23CF-44E3-9099-C40C66FF867C}">
                  <a14:compatExt spid="_x0000_s5347"/>
                </a:ext>
                <a:ext uri="{FF2B5EF4-FFF2-40B4-BE49-F238E27FC236}">
                  <a16:creationId xmlns:a16="http://schemas.microsoft.com/office/drawing/2014/main" id="{00000000-0008-0000-0400-0000E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64</xdr:row>
          <xdr:rowOff>133350</xdr:rowOff>
        </xdr:from>
        <xdr:to>
          <xdr:col>5</xdr:col>
          <xdr:colOff>9525</xdr:colOff>
          <xdr:row>66</xdr:row>
          <xdr:rowOff>28575</xdr:rowOff>
        </xdr:to>
        <xdr:sp macro="" textlink="">
          <xdr:nvSpPr>
            <xdr:cNvPr id="5348" name="CheckBox_E66" hidden="1">
              <a:extLst>
                <a:ext uri="{63B3BB69-23CF-44E3-9099-C40C66FF867C}">
                  <a14:compatExt spid="_x0000_s5348"/>
                </a:ext>
                <a:ext uri="{FF2B5EF4-FFF2-40B4-BE49-F238E27FC236}">
                  <a16:creationId xmlns:a16="http://schemas.microsoft.com/office/drawing/2014/main" id="{00000000-0008-0000-0400-0000E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65</xdr:row>
          <xdr:rowOff>133350</xdr:rowOff>
        </xdr:from>
        <xdr:to>
          <xdr:col>3</xdr:col>
          <xdr:colOff>57150</xdr:colOff>
          <xdr:row>67</xdr:row>
          <xdr:rowOff>28575</xdr:rowOff>
        </xdr:to>
        <xdr:sp macro="" textlink="">
          <xdr:nvSpPr>
            <xdr:cNvPr id="5349" name="CheckBox_C67" hidden="1">
              <a:extLst>
                <a:ext uri="{63B3BB69-23CF-44E3-9099-C40C66FF867C}">
                  <a14:compatExt spid="_x0000_s5349"/>
                </a:ext>
                <a:ext uri="{FF2B5EF4-FFF2-40B4-BE49-F238E27FC236}">
                  <a16:creationId xmlns:a16="http://schemas.microsoft.com/office/drawing/2014/main" id="{00000000-0008-0000-0400-0000E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65</xdr:row>
          <xdr:rowOff>133350</xdr:rowOff>
        </xdr:from>
        <xdr:to>
          <xdr:col>7</xdr:col>
          <xdr:colOff>9525</xdr:colOff>
          <xdr:row>67</xdr:row>
          <xdr:rowOff>28575</xdr:rowOff>
        </xdr:to>
        <xdr:sp macro="" textlink="">
          <xdr:nvSpPr>
            <xdr:cNvPr id="5350" name="CheckBox_G67" hidden="1">
              <a:extLst>
                <a:ext uri="{63B3BB69-23CF-44E3-9099-C40C66FF867C}">
                  <a14:compatExt spid="_x0000_s5350"/>
                </a:ext>
                <a:ext uri="{FF2B5EF4-FFF2-40B4-BE49-F238E27FC236}">
                  <a16:creationId xmlns:a16="http://schemas.microsoft.com/office/drawing/2014/main" id="{00000000-0008-0000-0400-0000E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65</xdr:row>
          <xdr:rowOff>133350</xdr:rowOff>
        </xdr:from>
        <xdr:to>
          <xdr:col>5</xdr:col>
          <xdr:colOff>9525</xdr:colOff>
          <xdr:row>67</xdr:row>
          <xdr:rowOff>28575</xdr:rowOff>
        </xdr:to>
        <xdr:sp macro="" textlink="">
          <xdr:nvSpPr>
            <xdr:cNvPr id="5351" name="CheckBox_E67" hidden="1">
              <a:extLst>
                <a:ext uri="{63B3BB69-23CF-44E3-9099-C40C66FF867C}">
                  <a14:compatExt spid="_x0000_s5351"/>
                </a:ext>
                <a:ext uri="{FF2B5EF4-FFF2-40B4-BE49-F238E27FC236}">
                  <a16:creationId xmlns:a16="http://schemas.microsoft.com/office/drawing/2014/main" id="{00000000-0008-0000-0400-0000E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52</xdr:row>
          <xdr:rowOff>142875</xdr:rowOff>
        </xdr:from>
        <xdr:to>
          <xdr:col>3</xdr:col>
          <xdr:colOff>57150</xdr:colOff>
          <xdr:row>54</xdr:row>
          <xdr:rowOff>38100</xdr:rowOff>
        </xdr:to>
        <xdr:sp macro="" textlink="">
          <xdr:nvSpPr>
            <xdr:cNvPr id="5352" name="CheckBox_C54" hidden="1">
              <a:extLst>
                <a:ext uri="{63B3BB69-23CF-44E3-9099-C40C66FF867C}">
                  <a14:compatExt spid="_x0000_s5352"/>
                </a:ext>
                <a:ext uri="{FF2B5EF4-FFF2-40B4-BE49-F238E27FC236}">
                  <a16:creationId xmlns:a16="http://schemas.microsoft.com/office/drawing/2014/main" id="{00000000-0008-0000-0400-0000E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52</xdr:row>
          <xdr:rowOff>142875</xdr:rowOff>
        </xdr:from>
        <xdr:to>
          <xdr:col>7</xdr:col>
          <xdr:colOff>0</xdr:colOff>
          <xdr:row>54</xdr:row>
          <xdr:rowOff>38100</xdr:rowOff>
        </xdr:to>
        <xdr:sp macro="" textlink="">
          <xdr:nvSpPr>
            <xdr:cNvPr id="5353" name="CheckBox_G54" hidden="1">
              <a:extLst>
                <a:ext uri="{63B3BB69-23CF-44E3-9099-C40C66FF867C}">
                  <a14:compatExt spid="_x0000_s5353"/>
                </a:ext>
                <a:ext uri="{FF2B5EF4-FFF2-40B4-BE49-F238E27FC236}">
                  <a16:creationId xmlns:a16="http://schemas.microsoft.com/office/drawing/2014/main" id="{00000000-0008-0000-0400-0000E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52</xdr:row>
          <xdr:rowOff>142875</xdr:rowOff>
        </xdr:from>
        <xdr:to>
          <xdr:col>5</xdr:col>
          <xdr:colOff>9525</xdr:colOff>
          <xdr:row>54</xdr:row>
          <xdr:rowOff>38100</xdr:rowOff>
        </xdr:to>
        <xdr:sp macro="" textlink="">
          <xdr:nvSpPr>
            <xdr:cNvPr id="5354" name="CheckBox_E54" hidden="1">
              <a:extLst>
                <a:ext uri="{63B3BB69-23CF-44E3-9099-C40C66FF867C}">
                  <a14:compatExt spid="_x0000_s5354"/>
                </a:ext>
                <a:ext uri="{FF2B5EF4-FFF2-40B4-BE49-F238E27FC236}">
                  <a16:creationId xmlns:a16="http://schemas.microsoft.com/office/drawing/2014/main" id="{00000000-0008-0000-0400-0000E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46</xdr:row>
          <xdr:rowOff>133350</xdr:rowOff>
        </xdr:from>
        <xdr:to>
          <xdr:col>3</xdr:col>
          <xdr:colOff>57150</xdr:colOff>
          <xdr:row>48</xdr:row>
          <xdr:rowOff>28575</xdr:rowOff>
        </xdr:to>
        <xdr:sp macro="" textlink="">
          <xdr:nvSpPr>
            <xdr:cNvPr id="5355" name="CheckBox_C48" hidden="1">
              <a:extLst>
                <a:ext uri="{63B3BB69-23CF-44E3-9099-C40C66FF867C}">
                  <a14:compatExt spid="_x0000_s5355"/>
                </a:ext>
                <a:ext uri="{FF2B5EF4-FFF2-40B4-BE49-F238E27FC236}">
                  <a16:creationId xmlns:a16="http://schemas.microsoft.com/office/drawing/2014/main" id="{00000000-0008-0000-0400-0000E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46</xdr:row>
          <xdr:rowOff>133350</xdr:rowOff>
        </xdr:from>
        <xdr:to>
          <xdr:col>7</xdr:col>
          <xdr:colOff>0</xdr:colOff>
          <xdr:row>48</xdr:row>
          <xdr:rowOff>28575</xdr:rowOff>
        </xdr:to>
        <xdr:sp macro="" textlink="">
          <xdr:nvSpPr>
            <xdr:cNvPr id="5356" name="CheckBox_G48" hidden="1">
              <a:extLst>
                <a:ext uri="{63B3BB69-23CF-44E3-9099-C40C66FF867C}">
                  <a14:compatExt spid="_x0000_s5356"/>
                </a:ext>
                <a:ext uri="{FF2B5EF4-FFF2-40B4-BE49-F238E27FC236}">
                  <a16:creationId xmlns:a16="http://schemas.microsoft.com/office/drawing/2014/main" id="{00000000-0008-0000-0400-0000E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46</xdr:row>
          <xdr:rowOff>133350</xdr:rowOff>
        </xdr:from>
        <xdr:to>
          <xdr:col>5</xdr:col>
          <xdr:colOff>9525</xdr:colOff>
          <xdr:row>48</xdr:row>
          <xdr:rowOff>28575</xdr:rowOff>
        </xdr:to>
        <xdr:sp macro="" textlink="">
          <xdr:nvSpPr>
            <xdr:cNvPr id="5357" name="CheckBox_E48" hidden="1">
              <a:extLst>
                <a:ext uri="{63B3BB69-23CF-44E3-9099-C40C66FF867C}">
                  <a14:compatExt spid="_x0000_s5357"/>
                </a:ext>
                <a:ext uri="{FF2B5EF4-FFF2-40B4-BE49-F238E27FC236}">
                  <a16:creationId xmlns:a16="http://schemas.microsoft.com/office/drawing/2014/main" id="{00000000-0008-0000-0400-0000E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50</xdr:row>
          <xdr:rowOff>133350</xdr:rowOff>
        </xdr:from>
        <xdr:to>
          <xdr:col>3</xdr:col>
          <xdr:colOff>57150</xdr:colOff>
          <xdr:row>52</xdr:row>
          <xdr:rowOff>28575</xdr:rowOff>
        </xdr:to>
        <xdr:sp macro="" textlink="">
          <xdr:nvSpPr>
            <xdr:cNvPr id="5358" name="CheckBox_C52" hidden="1">
              <a:extLst>
                <a:ext uri="{63B3BB69-23CF-44E3-9099-C40C66FF867C}">
                  <a14:compatExt spid="_x0000_s5358"/>
                </a:ext>
                <a:ext uri="{FF2B5EF4-FFF2-40B4-BE49-F238E27FC236}">
                  <a16:creationId xmlns:a16="http://schemas.microsoft.com/office/drawing/2014/main" id="{00000000-0008-0000-0400-0000E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50</xdr:row>
          <xdr:rowOff>133350</xdr:rowOff>
        </xdr:from>
        <xdr:to>
          <xdr:col>7</xdr:col>
          <xdr:colOff>9525</xdr:colOff>
          <xdr:row>52</xdr:row>
          <xdr:rowOff>28575</xdr:rowOff>
        </xdr:to>
        <xdr:sp macro="" textlink="">
          <xdr:nvSpPr>
            <xdr:cNvPr id="5359" name="CheckBox_G52" hidden="1">
              <a:extLst>
                <a:ext uri="{63B3BB69-23CF-44E3-9099-C40C66FF867C}">
                  <a14:compatExt spid="_x0000_s5359"/>
                </a:ext>
                <a:ext uri="{FF2B5EF4-FFF2-40B4-BE49-F238E27FC236}">
                  <a16:creationId xmlns:a16="http://schemas.microsoft.com/office/drawing/2014/main" id="{00000000-0008-0000-0400-0000E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50</xdr:row>
          <xdr:rowOff>133350</xdr:rowOff>
        </xdr:from>
        <xdr:to>
          <xdr:col>5</xdr:col>
          <xdr:colOff>9525</xdr:colOff>
          <xdr:row>52</xdr:row>
          <xdr:rowOff>28575</xdr:rowOff>
        </xdr:to>
        <xdr:sp macro="" textlink="">
          <xdr:nvSpPr>
            <xdr:cNvPr id="5360" name="CheckBox_E52" hidden="1">
              <a:extLst>
                <a:ext uri="{63B3BB69-23CF-44E3-9099-C40C66FF867C}">
                  <a14:compatExt spid="_x0000_s5360"/>
                </a:ext>
                <a:ext uri="{FF2B5EF4-FFF2-40B4-BE49-F238E27FC236}">
                  <a16:creationId xmlns:a16="http://schemas.microsoft.com/office/drawing/2014/main" id="{00000000-0008-0000-0400-0000F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51</xdr:row>
          <xdr:rowOff>133350</xdr:rowOff>
        </xdr:from>
        <xdr:to>
          <xdr:col>3</xdr:col>
          <xdr:colOff>57150</xdr:colOff>
          <xdr:row>53</xdr:row>
          <xdr:rowOff>28575</xdr:rowOff>
        </xdr:to>
        <xdr:sp macro="" textlink="">
          <xdr:nvSpPr>
            <xdr:cNvPr id="5361" name="CheckBox_C53" hidden="1">
              <a:extLst>
                <a:ext uri="{63B3BB69-23CF-44E3-9099-C40C66FF867C}">
                  <a14:compatExt spid="_x0000_s5361"/>
                </a:ext>
                <a:ext uri="{FF2B5EF4-FFF2-40B4-BE49-F238E27FC236}">
                  <a16:creationId xmlns:a16="http://schemas.microsoft.com/office/drawing/2014/main" id="{00000000-0008-0000-0400-0000F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51</xdr:row>
          <xdr:rowOff>133350</xdr:rowOff>
        </xdr:from>
        <xdr:to>
          <xdr:col>7</xdr:col>
          <xdr:colOff>9525</xdr:colOff>
          <xdr:row>53</xdr:row>
          <xdr:rowOff>28575</xdr:rowOff>
        </xdr:to>
        <xdr:sp macro="" textlink="">
          <xdr:nvSpPr>
            <xdr:cNvPr id="5362" name="CheckBox_G53" hidden="1">
              <a:extLst>
                <a:ext uri="{63B3BB69-23CF-44E3-9099-C40C66FF867C}">
                  <a14:compatExt spid="_x0000_s5362"/>
                </a:ext>
                <a:ext uri="{FF2B5EF4-FFF2-40B4-BE49-F238E27FC236}">
                  <a16:creationId xmlns:a16="http://schemas.microsoft.com/office/drawing/2014/main" id="{00000000-0008-0000-0400-0000F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51</xdr:row>
          <xdr:rowOff>133350</xdr:rowOff>
        </xdr:from>
        <xdr:to>
          <xdr:col>5</xdr:col>
          <xdr:colOff>9525</xdr:colOff>
          <xdr:row>53</xdr:row>
          <xdr:rowOff>28575</xdr:rowOff>
        </xdr:to>
        <xdr:sp macro="" textlink="">
          <xdr:nvSpPr>
            <xdr:cNvPr id="5363" name="CheckBox_E53" hidden="1">
              <a:extLst>
                <a:ext uri="{63B3BB69-23CF-44E3-9099-C40C66FF867C}">
                  <a14:compatExt spid="_x0000_s5363"/>
                </a:ext>
                <a:ext uri="{FF2B5EF4-FFF2-40B4-BE49-F238E27FC236}">
                  <a16:creationId xmlns:a16="http://schemas.microsoft.com/office/drawing/2014/main" id="{00000000-0008-0000-0400-0000F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68</xdr:row>
          <xdr:rowOff>133350</xdr:rowOff>
        </xdr:from>
        <xdr:to>
          <xdr:col>3</xdr:col>
          <xdr:colOff>57150</xdr:colOff>
          <xdr:row>70</xdr:row>
          <xdr:rowOff>28575</xdr:rowOff>
        </xdr:to>
        <xdr:sp macro="" textlink="">
          <xdr:nvSpPr>
            <xdr:cNvPr id="5364" name="CheckBox_C70" hidden="1">
              <a:extLst>
                <a:ext uri="{63B3BB69-23CF-44E3-9099-C40C66FF867C}">
                  <a14:compatExt spid="_x0000_s5364"/>
                </a:ext>
                <a:ext uri="{FF2B5EF4-FFF2-40B4-BE49-F238E27FC236}">
                  <a16:creationId xmlns:a16="http://schemas.microsoft.com/office/drawing/2014/main" id="{00000000-0008-0000-0400-0000F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68</xdr:row>
          <xdr:rowOff>133350</xdr:rowOff>
        </xdr:from>
        <xdr:to>
          <xdr:col>7</xdr:col>
          <xdr:colOff>9525</xdr:colOff>
          <xdr:row>70</xdr:row>
          <xdr:rowOff>28575</xdr:rowOff>
        </xdr:to>
        <xdr:sp macro="" textlink="">
          <xdr:nvSpPr>
            <xdr:cNvPr id="5365" name="CheckBox_G70" hidden="1">
              <a:extLst>
                <a:ext uri="{63B3BB69-23CF-44E3-9099-C40C66FF867C}">
                  <a14:compatExt spid="_x0000_s5365"/>
                </a:ext>
                <a:ext uri="{FF2B5EF4-FFF2-40B4-BE49-F238E27FC236}">
                  <a16:creationId xmlns:a16="http://schemas.microsoft.com/office/drawing/2014/main" id="{00000000-0008-0000-0400-0000F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68</xdr:row>
          <xdr:rowOff>133350</xdr:rowOff>
        </xdr:from>
        <xdr:to>
          <xdr:col>5</xdr:col>
          <xdr:colOff>9525</xdr:colOff>
          <xdr:row>70</xdr:row>
          <xdr:rowOff>28575</xdr:rowOff>
        </xdr:to>
        <xdr:sp macro="" textlink="">
          <xdr:nvSpPr>
            <xdr:cNvPr id="5366" name="CheckBox_E70" hidden="1">
              <a:extLst>
                <a:ext uri="{63B3BB69-23CF-44E3-9099-C40C66FF867C}">
                  <a14:compatExt spid="_x0000_s5366"/>
                </a:ext>
                <a:ext uri="{FF2B5EF4-FFF2-40B4-BE49-F238E27FC236}">
                  <a16:creationId xmlns:a16="http://schemas.microsoft.com/office/drawing/2014/main" id="{00000000-0008-0000-0400-0000F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69</xdr:row>
          <xdr:rowOff>133350</xdr:rowOff>
        </xdr:from>
        <xdr:to>
          <xdr:col>3</xdr:col>
          <xdr:colOff>57150</xdr:colOff>
          <xdr:row>71</xdr:row>
          <xdr:rowOff>28575</xdr:rowOff>
        </xdr:to>
        <xdr:sp macro="" textlink="">
          <xdr:nvSpPr>
            <xdr:cNvPr id="5367" name="CheckBox_C71" hidden="1">
              <a:extLst>
                <a:ext uri="{63B3BB69-23CF-44E3-9099-C40C66FF867C}">
                  <a14:compatExt spid="_x0000_s5367"/>
                </a:ext>
                <a:ext uri="{FF2B5EF4-FFF2-40B4-BE49-F238E27FC236}">
                  <a16:creationId xmlns:a16="http://schemas.microsoft.com/office/drawing/2014/main" id="{00000000-0008-0000-0400-0000F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69</xdr:row>
          <xdr:rowOff>133350</xdr:rowOff>
        </xdr:from>
        <xdr:to>
          <xdr:col>7</xdr:col>
          <xdr:colOff>9525</xdr:colOff>
          <xdr:row>71</xdr:row>
          <xdr:rowOff>28575</xdr:rowOff>
        </xdr:to>
        <xdr:sp macro="" textlink="">
          <xdr:nvSpPr>
            <xdr:cNvPr id="5368" name="CheckBox_G71" hidden="1">
              <a:extLst>
                <a:ext uri="{63B3BB69-23CF-44E3-9099-C40C66FF867C}">
                  <a14:compatExt spid="_x0000_s5368"/>
                </a:ext>
                <a:ext uri="{FF2B5EF4-FFF2-40B4-BE49-F238E27FC236}">
                  <a16:creationId xmlns:a16="http://schemas.microsoft.com/office/drawing/2014/main" id="{00000000-0008-0000-0400-0000F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69</xdr:row>
          <xdr:rowOff>133350</xdr:rowOff>
        </xdr:from>
        <xdr:to>
          <xdr:col>5</xdr:col>
          <xdr:colOff>9525</xdr:colOff>
          <xdr:row>71</xdr:row>
          <xdr:rowOff>28575</xdr:rowOff>
        </xdr:to>
        <xdr:sp macro="" textlink="">
          <xdr:nvSpPr>
            <xdr:cNvPr id="5369" name="CheckBox_E71" hidden="1">
              <a:extLst>
                <a:ext uri="{63B3BB69-23CF-44E3-9099-C40C66FF867C}">
                  <a14:compatExt spid="_x0000_s5369"/>
                </a:ext>
                <a:ext uri="{FF2B5EF4-FFF2-40B4-BE49-F238E27FC236}">
                  <a16:creationId xmlns:a16="http://schemas.microsoft.com/office/drawing/2014/main" id="{00000000-0008-0000-0400-0000F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70</xdr:row>
          <xdr:rowOff>133350</xdr:rowOff>
        </xdr:from>
        <xdr:to>
          <xdr:col>3</xdr:col>
          <xdr:colOff>57150</xdr:colOff>
          <xdr:row>72</xdr:row>
          <xdr:rowOff>28575</xdr:rowOff>
        </xdr:to>
        <xdr:sp macro="" textlink="">
          <xdr:nvSpPr>
            <xdr:cNvPr id="5370" name="CheckBox_C72" hidden="1">
              <a:extLst>
                <a:ext uri="{63B3BB69-23CF-44E3-9099-C40C66FF867C}">
                  <a14:compatExt spid="_x0000_s5370"/>
                </a:ext>
                <a:ext uri="{FF2B5EF4-FFF2-40B4-BE49-F238E27FC236}">
                  <a16:creationId xmlns:a16="http://schemas.microsoft.com/office/drawing/2014/main" id="{00000000-0008-0000-0400-0000F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70</xdr:row>
          <xdr:rowOff>133350</xdr:rowOff>
        </xdr:from>
        <xdr:to>
          <xdr:col>7</xdr:col>
          <xdr:colOff>9525</xdr:colOff>
          <xdr:row>72</xdr:row>
          <xdr:rowOff>28575</xdr:rowOff>
        </xdr:to>
        <xdr:sp macro="" textlink="">
          <xdr:nvSpPr>
            <xdr:cNvPr id="5371" name="CheckBox_G72" hidden="1">
              <a:extLst>
                <a:ext uri="{63B3BB69-23CF-44E3-9099-C40C66FF867C}">
                  <a14:compatExt spid="_x0000_s5371"/>
                </a:ext>
                <a:ext uri="{FF2B5EF4-FFF2-40B4-BE49-F238E27FC236}">
                  <a16:creationId xmlns:a16="http://schemas.microsoft.com/office/drawing/2014/main" id="{00000000-0008-0000-0400-0000F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70</xdr:row>
          <xdr:rowOff>133350</xdr:rowOff>
        </xdr:from>
        <xdr:to>
          <xdr:col>5</xdr:col>
          <xdr:colOff>9525</xdr:colOff>
          <xdr:row>72</xdr:row>
          <xdr:rowOff>28575</xdr:rowOff>
        </xdr:to>
        <xdr:sp macro="" textlink="">
          <xdr:nvSpPr>
            <xdr:cNvPr id="5372" name="CheckBox_E72" hidden="1">
              <a:extLst>
                <a:ext uri="{63B3BB69-23CF-44E3-9099-C40C66FF867C}">
                  <a14:compatExt spid="_x0000_s5372"/>
                </a:ext>
                <a:ext uri="{FF2B5EF4-FFF2-40B4-BE49-F238E27FC236}">
                  <a16:creationId xmlns:a16="http://schemas.microsoft.com/office/drawing/2014/main" id="{00000000-0008-0000-0400-0000F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5</xdr:row>
          <xdr:rowOff>9525</xdr:rowOff>
        </xdr:from>
        <xdr:to>
          <xdr:col>2</xdr:col>
          <xdr:colOff>371475</xdr:colOff>
          <xdr:row>5</xdr:row>
          <xdr:rowOff>142875</xdr:rowOff>
        </xdr:to>
        <xdr:sp macro="" textlink="">
          <xdr:nvSpPr>
            <xdr:cNvPr id="27649" name="Drop Down 1" hidden="1">
              <a:extLst>
                <a:ext uri="{63B3BB69-23CF-44E3-9099-C40C66FF867C}">
                  <a14:compatExt spid="_x0000_s27649"/>
                </a:ext>
                <a:ext uri="{FF2B5EF4-FFF2-40B4-BE49-F238E27FC236}">
                  <a16:creationId xmlns:a16="http://schemas.microsoft.com/office/drawing/2014/main" id="{00000000-0008-0000-05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6</xdr:row>
          <xdr:rowOff>133350</xdr:rowOff>
        </xdr:from>
        <xdr:to>
          <xdr:col>2</xdr:col>
          <xdr:colOff>47625</xdr:colOff>
          <xdr:row>8</xdr:row>
          <xdr:rowOff>28575</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22</xdr:row>
          <xdr:rowOff>133350</xdr:rowOff>
        </xdr:from>
        <xdr:to>
          <xdr:col>3</xdr:col>
          <xdr:colOff>57150</xdr:colOff>
          <xdr:row>24</xdr:row>
          <xdr:rowOff>28575</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5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22</xdr:row>
          <xdr:rowOff>133350</xdr:rowOff>
        </xdr:from>
        <xdr:to>
          <xdr:col>7</xdr:col>
          <xdr:colOff>9525</xdr:colOff>
          <xdr:row>24</xdr:row>
          <xdr:rowOff>28575</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5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22</xdr:row>
          <xdr:rowOff>133350</xdr:rowOff>
        </xdr:from>
        <xdr:to>
          <xdr:col>5</xdr:col>
          <xdr:colOff>9525</xdr:colOff>
          <xdr:row>24</xdr:row>
          <xdr:rowOff>28575</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05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8</xdr:row>
          <xdr:rowOff>133350</xdr:rowOff>
        </xdr:from>
        <xdr:to>
          <xdr:col>2</xdr:col>
          <xdr:colOff>47625</xdr:colOff>
          <xdr:row>10</xdr:row>
          <xdr:rowOff>28575</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05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21</xdr:row>
          <xdr:rowOff>133350</xdr:rowOff>
        </xdr:from>
        <xdr:to>
          <xdr:col>3</xdr:col>
          <xdr:colOff>57150</xdr:colOff>
          <xdr:row>23</xdr:row>
          <xdr:rowOff>28575</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05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21</xdr:row>
          <xdr:rowOff>133350</xdr:rowOff>
        </xdr:from>
        <xdr:to>
          <xdr:col>7</xdr:col>
          <xdr:colOff>9525</xdr:colOff>
          <xdr:row>23</xdr:row>
          <xdr:rowOff>28575</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05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21</xdr:row>
          <xdr:rowOff>133350</xdr:rowOff>
        </xdr:from>
        <xdr:to>
          <xdr:col>5</xdr:col>
          <xdr:colOff>9525</xdr:colOff>
          <xdr:row>23</xdr:row>
          <xdr:rowOff>28575</xdr:rowOff>
        </xdr:to>
        <xdr:sp macro="" textlink="">
          <xdr:nvSpPr>
            <xdr:cNvPr id="27657" name="Check Box 9" hidden="1">
              <a:extLst>
                <a:ext uri="{63B3BB69-23CF-44E3-9099-C40C66FF867C}">
                  <a14:compatExt spid="_x0000_s27657"/>
                </a:ext>
                <a:ext uri="{FF2B5EF4-FFF2-40B4-BE49-F238E27FC236}">
                  <a16:creationId xmlns:a16="http://schemas.microsoft.com/office/drawing/2014/main" id="{00000000-0008-0000-0500-00000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18</xdr:row>
          <xdr:rowOff>133350</xdr:rowOff>
        </xdr:from>
        <xdr:to>
          <xdr:col>3</xdr:col>
          <xdr:colOff>57150</xdr:colOff>
          <xdr:row>20</xdr:row>
          <xdr:rowOff>28575</xdr:rowOff>
        </xdr:to>
        <xdr:sp macro="" textlink="">
          <xdr:nvSpPr>
            <xdr:cNvPr id="27658" name="Check Box 10" hidden="1">
              <a:extLst>
                <a:ext uri="{63B3BB69-23CF-44E3-9099-C40C66FF867C}">
                  <a14:compatExt spid="_x0000_s27658"/>
                </a:ext>
                <a:ext uri="{FF2B5EF4-FFF2-40B4-BE49-F238E27FC236}">
                  <a16:creationId xmlns:a16="http://schemas.microsoft.com/office/drawing/2014/main" id="{00000000-0008-0000-05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18</xdr:row>
          <xdr:rowOff>133350</xdr:rowOff>
        </xdr:from>
        <xdr:to>
          <xdr:col>7</xdr:col>
          <xdr:colOff>9525</xdr:colOff>
          <xdr:row>20</xdr:row>
          <xdr:rowOff>28575</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05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18</xdr:row>
          <xdr:rowOff>133350</xdr:rowOff>
        </xdr:from>
        <xdr:to>
          <xdr:col>5</xdr:col>
          <xdr:colOff>9525</xdr:colOff>
          <xdr:row>20</xdr:row>
          <xdr:rowOff>28575</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05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19</xdr:row>
          <xdr:rowOff>133350</xdr:rowOff>
        </xdr:from>
        <xdr:to>
          <xdr:col>3</xdr:col>
          <xdr:colOff>57150</xdr:colOff>
          <xdr:row>21</xdr:row>
          <xdr:rowOff>28575</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05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19</xdr:row>
          <xdr:rowOff>133350</xdr:rowOff>
        </xdr:from>
        <xdr:to>
          <xdr:col>7</xdr:col>
          <xdr:colOff>9525</xdr:colOff>
          <xdr:row>21</xdr:row>
          <xdr:rowOff>28575</xdr:rowOff>
        </xdr:to>
        <xdr:sp macro="" textlink="">
          <xdr:nvSpPr>
            <xdr:cNvPr id="27662" name="Check Box 14" hidden="1">
              <a:extLst>
                <a:ext uri="{63B3BB69-23CF-44E3-9099-C40C66FF867C}">
                  <a14:compatExt spid="_x0000_s27662"/>
                </a:ext>
                <a:ext uri="{FF2B5EF4-FFF2-40B4-BE49-F238E27FC236}">
                  <a16:creationId xmlns:a16="http://schemas.microsoft.com/office/drawing/2014/main" id="{00000000-0008-0000-0500-00000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19</xdr:row>
          <xdr:rowOff>133350</xdr:rowOff>
        </xdr:from>
        <xdr:to>
          <xdr:col>5</xdr:col>
          <xdr:colOff>9525</xdr:colOff>
          <xdr:row>21</xdr:row>
          <xdr:rowOff>28575</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05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20</xdr:row>
          <xdr:rowOff>133350</xdr:rowOff>
        </xdr:from>
        <xdr:to>
          <xdr:col>3</xdr:col>
          <xdr:colOff>57150</xdr:colOff>
          <xdr:row>22</xdr:row>
          <xdr:rowOff>28575</xdr:rowOff>
        </xdr:to>
        <xdr:sp macro="" textlink="">
          <xdr:nvSpPr>
            <xdr:cNvPr id="27664" name="Check Box 16" hidden="1">
              <a:extLst>
                <a:ext uri="{63B3BB69-23CF-44E3-9099-C40C66FF867C}">
                  <a14:compatExt spid="_x0000_s27664"/>
                </a:ext>
                <a:ext uri="{FF2B5EF4-FFF2-40B4-BE49-F238E27FC236}">
                  <a16:creationId xmlns:a16="http://schemas.microsoft.com/office/drawing/2014/main" id="{00000000-0008-0000-0500-00001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20</xdr:row>
          <xdr:rowOff>133350</xdr:rowOff>
        </xdr:from>
        <xdr:to>
          <xdr:col>7</xdr:col>
          <xdr:colOff>9525</xdr:colOff>
          <xdr:row>22</xdr:row>
          <xdr:rowOff>28575</xdr:rowOff>
        </xdr:to>
        <xdr:sp macro="" textlink="">
          <xdr:nvSpPr>
            <xdr:cNvPr id="27665" name="Check Box 17" hidden="1">
              <a:extLst>
                <a:ext uri="{63B3BB69-23CF-44E3-9099-C40C66FF867C}">
                  <a14:compatExt spid="_x0000_s27665"/>
                </a:ext>
                <a:ext uri="{FF2B5EF4-FFF2-40B4-BE49-F238E27FC236}">
                  <a16:creationId xmlns:a16="http://schemas.microsoft.com/office/drawing/2014/main" id="{00000000-0008-0000-0500-00001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20</xdr:row>
          <xdr:rowOff>133350</xdr:rowOff>
        </xdr:from>
        <xdr:to>
          <xdr:col>5</xdr:col>
          <xdr:colOff>9525</xdr:colOff>
          <xdr:row>22</xdr:row>
          <xdr:rowOff>28575</xdr:rowOff>
        </xdr:to>
        <xdr:sp macro="" textlink="">
          <xdr:nvSpPr>
            <xdr:cNvPr id="27666" name="Check Box 18" hidden="1">
              <a:extLst>
                <a:ext uri="{63B3BB69-23CF-44E3-9099-C40C66FF867C}">
                  <a14:compatExt spid="_x0000_s27666"/>
                </a:ext>
                <a:ext uri="{FF2B5EF4-FFF2-40B4-BE49-F238E27FC236}">
                  <a16:creationId xmlns:a16="http://schemas.microsoft.com/office/drawing/2014/main" id="{00000000-0008-0000-0500-00001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23</xdr:row>
          <xdr:rowOff>133350</xdr:rowOff>
        </xdr:from>
        <xdr:to>
          <xdr:col>3</xdr:col>
          <xdr:colOff>57150</xdr:colOff>
          <xdr:row>25</xdr:row>
          <xdr:rowOff>28575</xdr:rowOff>
        </xdr:to>
        <xdr:sp macro="" textlink="">
          <xdr:nvSpPr>
            <xdr:cNvPr id="27667" name="Check Box 19" hidden="1">
              <a:extLst>
                <a:ext uri="{63B3BB69-23CF-44E3-9099-C40C66FF867C}">
                  <a14:compatExt spid="_x0000_s27667"/>
                </a:ext>
                <a:ext uri="{FF2B5EF4-FFF2-40B4-BE49-F238E27FC236}">
                  <a16:creationId xmlns:a16="http://schemas.microsoft.com/office/drawing/2014/main" id="{00000000-0008-0000-0500-00001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23</xdr:row>
          <xdr:rowOff>133350</xdr:rowOff>
        </xdr:from>
        <xdr:to>
          <xdr:col>7</xdr:col>
          <xdr:colOff>9525</xdr:colOff>
          <xdr:row>25</xdr:row>
          <xdr:rowOff>28575</xdr:rowOff>
        </xdr:to>
        <xdr:sp macro="" textlink="">
          <xdr:nvSpPr>
            <xdr:cNvPr id="27668" name="Check Box 20" hidden="1">
              <a:extLst>
                <a:ext uri="{63B3BB69-23CF-44E3-9099-C40C66FF867C}">
                  <a14:compatExt spid="_x0000_s27668"/>
                </a:ext>
                <a:ext uri="{FF2B5EF4-FFF2-40B4-BE49-F238E27FC236}">
                  <a16:creationId xmlns:a16="http://schemas.microsoft.com/office/drawing/2014/main" id="{00000000-0008-0000-0500-00001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23</xdr:row>
          <xdr:rowOff>133350</xdr:rowOff>
        </xdr:from>
        <xdr:to>
          <xdr:col>5</xdr:col>
          <xdr:colOff>9525</xdr:colOff>
          <xdr:row>25</xdr:row>
          <xdr:rowOff>28575</xdr:rowOff>
        </xdr:to>
        <xdr:sp macro="" textlink="">
          <xdr:nvSpPr>
            <xdr:cNvPr id="27669" name="Check Box 21" hidden="1">
              <a:extLst>
                <a:ext uri="{63B3BB69-23CF-44E3-9099-C40C66FF867C}">
                  <a14:compatExt spid="_x0000_s27669"/>
                </a:ext>
                <a:ext uri="{FF2B5EF4-FFF2-40B4-BE49-F238E27FC236}">
                  <a16:creationId xmlns:a16="http://schemas.microsoft.com/office/drawing/2014/main" id="{00000000-0008-0000-0500-00001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24</xdr:row>
          <xdr:rowOff>133350</xdr:rowOff>
        </xdr:from>
        <xdr:to>
          <xdr:col>3</xdr:col>
          <xdr:colOff>57150</xdr:colOff>
          <xdr:row>26</xdr:row>
          <xdr:rowOff>28575</xdr:rowOff>
        </xdr:to>
        <xdr:sp macro="" textlink="">
          <xdr:nvSpPr>
            <xdr:cNvPr id="27670" name="Check Box 22" hidden="1">
              <a:extLst>
                <a:ext uri="{63B3BB69-23CF-44E3-9099-C40C66FF867C}">
                  <a14:compatExt spid="_x0000_s27670"/>
                </a:ext>
                <a:ext uri="{FF2B5EF4-FFF2-40B4-BE49-F238E27FC236}">
                  <a16:creationId xmlns:a16="http://schemas.microsoft.com/office/drawing/2014/main" id="{00000000-0008-0000-0500-00001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24</xdr:row>
          <xdr:rowOff>133350</xdr:rowOff>
        </xdr:from>
        <xdr:to>
          <xdr:col>7</xdr:col>
          <xdr:colOff>9525</xdr:colOff>
          <xdr:row>26</xdr:row>
          <xdr:rowOff>28575</xdr:rowOff>
        </xdr:to>
        <xdr:sp macro="" textlink="">
          <xdr:nvSpPr>
            <xdr:cNvPr id="27671" name="Check Box 23" hidden="1">
              <a:extLst>
                <a:ext uri="{63B3BB69-23CF-44E3-9099-C40C66FF867C}">
                  <a14:compatExt spid="_x0000_s27671"/>
                </a:ext>
                <a:ext uri="{FF2B5EF4-FFF2-40B4-BE49-F238E27FC236}">
                  <a16:creationId xmlns:a16="http://schemas.microsoft.com/office/drawing/2014/main" id="{00000000-0008-0000-0500-00001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24</xdr:row>
          <xdr:rowOff>133350</xdr:rowOff>
        </xdr:from>
        <xdr:to>
          <xdr:col>5</xdr:col>
          <xdr:colOff>9525</xdr:colOff>
          <xdr:row>26</xdr:row>
          <xdr:rowOff>28575</xdr:rowOff>
        </xdr:to>
        <xdr:sp macro="" textlink="">
          <xdr:nvSpPr>
            <xdr:cNvPr id="27672" name="Check Box 24" hidden="1">
              <a:extLst>
                <a:ext uri="{63B3BB69-23CF-44E3-9099-C40C66FF867C}">
                  <a14:compatExt spid="_x0000_s27672"/>
                </a:ext>
                <a:ext uri="{FF2B5EF4-FFF2-40B4-BE49-F238E27FC236}">
                  <a16:creationId xmlns:a16="http://schemas.microsoft.com/office/drawing/2014/main" id="{00000000-0008-0000-0500-00001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27</xdr:row>
          <xdr:rowOff>133350</xdr:rowOff>
        </xdr:from>
        <xdr:to>
          <xdr:col>3</xdr:col>
          <xdr:colOff>57150</xdr:colOff>
          <xdr:row>29</xdr:row>
          <xdr:rowOff>28575</xdr:rowOff>
        </xdr:to>
        <xdr:sp macro="" textlink="">
          <xdr:nvSpPr>
            <xdr:cNvPr id="27673" name="Check Box 25" hidden="1">
              <a:extLst>
                <a:ext uri="{63B3BB69-23CF-44E3-9099-C40C66FF867C}">
                  <a14:compatExt spid="_x0000_s27673"/>
                </a:ext>
                <a:ext uri="{FF2B5EF4-FFF2-40B4-BE49-F238E27FC236}">
                  <a16:creationId xmlns:a16="http://schemas.microsoft.com/office/drawing/2014/main" id="{00000000-0008-0000-0500-00001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27</xdr:row>
          <xdr:rowOff>133350</xdr:rowOff>
        </xdr:from>
        <xdr:to>
          <xdr:col>7</xdr:col>
          <xdr:colOff>9525</xdr:colOff>
          <xdr:row>29</xdr:row>
          <xdr:rowOff>28575</xdr:rowOff>
        </xdr:to>
        <xdr:sp macro="" textlink="">
          <xdr:nvSpPr>
            <xdr:cNvPr id="27674" name="Check Box 26" hidden="1">
              <a:extLst>
                <a:ext uri="{63B3BB69-23CF-44E3-9099-C40C66FF867C}">
                  <a14:compatExt spid="_x0000_s27674"/>
                </a:ext>
                <a:ext uri="{FF2B5EF4-FFF2-40B4-BE49-F238E27FC236}">
                  <a16:creationId xmlns:a16="http://schemas.microsoft.com/office/drawing/2014/main" id="{00000000-0008-0000-0500-00001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27</xdr:row>
          <xdr:rowOff>133350</xdr:rowOff>
        </xdr:from>
        <xdr:to>
          <xdr:col>5</xdr:col>
          <xdr:colOff>9525</xdr:colOff>
          <xdr:row>29</xdr:row>
          <xdr:rowOff>28575</xdr:rowOff>
        </xdr:to>
        <xdr:sp macro="" textlink="">
          <xdr:nvSpPr>
            <xdr:cNvPr id="27675" name="Check Box 27" hidden="1">
              <a:extLst>
                <a:ext uri="{63B3BB69-23CF-44E3-9099-C40C66FF867C}">
                  <a14:compatExt spid="_x0000_s27675"/>
                </a:ext>
                <a:ext uri="{FF2B5EF4-FFF2-40B4-BE49-F238E27FC236}">
                  <a16:creationId xmlns:a16="http://schemas.microsoft.com/office/drawing/2014/main" id="{00000000-0008-0000-0500-00001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28</xdr:row>
          <xdr:rowOff>133350</xdr:rowOff>
        </xdr:from>
        <xdr:to>
          <xdr:col>3</xdr:col>
          <xdr:colOff>57150</xdr:colOff>
          <xdr:row>30</xdr:row>
          <xdr:rowOff>28575</xdr:rowOff>
        </xdr:to>
        <xdr:sp macro="" textlink="">
          <xdr:nvSpPr>
            <xdr:cNvPr id="27676" name="Check Box 28" hidden="1">
              <a:extLst>
                <a:ext uri="{63B3BB69-23CF-44E3-9099-C40C66FF867C}">
                  <a14:compatExt spid="_x0000_s27676"/>
                </a:ext>
                <a:ext uri="{FF2B5EF4-FFF2-40B4-BE49-F238E27FC236}">
                  <a16:creationId xmlns:a16="http://schemas.microsoft.com/office/drawing/2014/main" id="{00000000-0008-0000-0500-00001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28</xdr:row>
          <xdr:rowOff>133350</xdr:rowOff>
        </xdr:from>
        <xdr:to>
          <xdr:col>7</xdr:col>
          <xdr:colOff>9525</xdr:colOff>
          <xdr:row>30</xdr:row>
          <xdr:rowOff>28575</xdr:rowOff>
        </xdr:to>
        <xdr:sp macro="" textlink="">
          <xdr:nvSpPr>
            <xdr:cNvPr id="27677" name="Check Box 29" hidden="1">
              <a:extLst>
                <a:ext uri="{63B3BB69-23CF-44E3-9099-C40C66FF867C}">
                  <a14:compatExt spid="_x0000_s27677"/>
                </a:ext>
                <a:ext uri="{FF2B5EF4-FFF2-40B4-BE49-F238E27FC236}">
                  <a16:creationId xmlns:a16="http://schemas.microsoft.com/office/drawing/2014/main" id="{00000000-0008-0000-0500-00001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28</xdr:row>
          <xdr:rowOff>133350</xdr:rowOff>
        </xdr:from>
        <xdr:to>
          <xdr:col>5</xdr:col>
          <xdr:colOff>9525</xdr:colOff>
          <xdr:row>30</xdr:row>
          <xdr:rowOff>28575</xdr:rowOff>
        </xdr:to>
        <xdr:sp macro="" textlink="">
          <xdr:nvSpPr>
            <xdr:cNvPr id="27678" name="Check Box 30" hidden="1">
              <a:extLst>
                <a:ext uri="{63B3BB69-23CF-44E3-9099-C40C66FF867C}">
                  <a14:compatExt spid="_x0000_s27678"/>
                </a:ext>
                <a:ext uri="{FF2B5EF4-FFF2-40B4-BE49-F238E27FC236}">
                  <a16:creationId xmlns:a16="http://schemas.microsoft.com/office/drawing/2014/main" id="{00000000-0008-0000-0500-00001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29</xdr:row>
          <xdr:rowOff>142875</xdr:rowOff>
        </xdr:from>
        <xdr:to>
          <xdr:col>3</xdr:col>
          <xdr:colOff>57150</xdr:colOff>
          <xdr:row>31</xdr:row>
          <xdr:rowOff>28575</xdr:rowOff>
        </xdr:to>
        <xdr:sp macro="" textlink="">
          <xdr:nvSpPr>
            <xdr:cNvPr id="27679" name="Check Box 31" hidden="1">
              <a:extLst>
                <a:ext uri="{63B3BB69-23CF-44E3-9099-C40C66FF867C}">
                  <a14:compatExt spid="_x0000_s27679"/>
                </a:ext>
                <a:ext uri="{FF2B5EF4-FFF2-40B4-BE49-F238E27FC236}">
                  <a16:creationId xmlns:a16="http://schemas.microsoft.com/office/drawing/2014/main" id="{00000000-0008-0000-0500-00001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29</xdr:row>
          <xdr:rowOff>142875</xdr:rowOff>
        </xdr:from>
        <xdr:to>
          <xdr:col>7</xdr:col>
          <xdr:colOff>9525</xdr:colOff>
          <xdr:row>31</xdr:row>
          <xdr:rowOff>28575</xdr:rowOff>
        </xdr:to>
        <xdr:sp macro="" textlink="">
          <xdr:nvSpPr>
            <xdr:cNvPr id="27680" name="Check Box 32" hidden="1">
              <a:extLst>
                <a:ext uri="{63B3BB69-23CF-44E3-9099-C40C66FF867C}">
                  <a14:compatExt spid="_x0000_s27680"/>
                </a:ext>
                <a:ext uri="{FF2B5EF4-FFF2-40B4-BE49-F238E27FC236}">
                  <a16:creationId xmlns:a16="http://schemas.microsoft.com/office/drawing/2014/main" id="{00000000-0008-0000-0500-00002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29</xdr:row>
          <xdr:rowOff>142875</xdr:rowOff>
        </xdr:from>
        <xdr:to>
          <xdr:col>5</xdr:col>
          <xdr:colOff>9525</xdr:colOff>
          <xdr:row>31</xdr:row>
          <xdr:rowOff>28575</xdr:rowOff>
        </xdr:to>
        <xdr:sp macro="" textlink="">
          <xdr:nvSpPr>
            <xdr:cNvPr id="27681" name="Check Box 33" hidden="1">
              <a:extLst>
                <a:ext uri="{63B3BB69-23CF-44E3-9099-C40C66FF867C}">
                  <a14:compatExt spid="_x0000_s27681"/>
                </a:ext>
                <a:ext uri="{FF2B5EF4-FFF2-40B4-BE49-F238E27FC236}">
                  <a16:creationId xmlns:a16="http://schemas.microsoft.com/office/drawing/2014/main" id="{00000000-0008-0000-0500-00002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30</xdr:row>
          <xdr:rowOff>133350</xdr:rowOff>
        </xdr:from>
        <xdr:to>
          <xdr:col>3</xdr:col>
          <xdr:colOff>57150</xdr:colOff>
          <xdr:row>32</xdr:row>
          <xdr:rowOff>28575</xdr:rowOff>
        </xdr:to>
        <xdr:sp macro="" textlink="">
          <xdr:nvSpPr>
            <xdr:cNvPr id="27682" name="Check Box 34" hidden="1">
              <a:extLst>
                <a:ext uri="{63B3BB69-23CF-44E3-9099-C40C66FF867C}">
                  <a14:compatExt spid="_x0000_s27682"/>
                </a:ext>
                <a:ext uri="{FF2B5EF4-FFF2-40B4-BE49-F238E27FC236}">
                  <a16:creationId xmlns:a16="http://schemas.microsoft.com/office/drawing/2014/main" id="{00000000-0008-0000-0500-00002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30</xdr:row>
          <xdr:rowOff>133350</xdr:rowOff>
        </xdr:from>
        <xdr:to>
          <xdr:col>7</xdr:col>
          <xdr:colOff>9525</xdr:colOff>
          <xdr:row>32</xdr:row>
          <xdr:rowOff>28575</xdr:rowOff>
        </xdr:to>
        <xdr:sp macro="" textlink="">
          <xdr:nvSpPr>
            <xdr:cNvPr id="27683" name="Check Box 35" hidden="1">
              <a:extLst>
                <a:ext uri="{63B3BB69-23CF-44E3-9099-C40C66FF867C}">
                  <a14:compatExt spid="_x0000_s27683"/>
                </a:ext>
                <a:ext uri="{FF2B5EF4-FFF2-40B4-BE49-F238E27FC236}">
                  <a16:creationId xmlns:a16="http://schemas.microsoft.com/office/drawing/2014/main" id="{00000000-0008-0000-0500-00002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30</xdr:row>
          <xdr:rowOff>133350</xdr:rowOff>
        </xdr:from>
        <xdr:to>
          <xdr:col>5</xdr:col>
          <xdr:colOff>9525</xdr:colOff>
          <xdr:row>32</xdr:row>
          <xdr:rowOff>28575</xdr:rowOff>
        </xdr:to>
        <xdr:sp macro="" textlink="">
          <xdr:nvSpPr>
            <xdr:cNvPr id="27684" name="Check Box 36" hidden="1">
              <a:extLst>
                <a:ext uri="{63B3BB69-23CF-44E3-9099-C40C66FF867C}">
                  <a14:compatExt spid="_x0000_s27684"/>
                </a:ext>
                <a:ext uri="{FF2B5EF4-FFF2-40B4-BE49-F238E27FC236}">
                  <a16:creationId xmlns:a16="http://schemas.microsoft.com/office/drawing/2014/main" id="{00000000-0008-0000-0500-00002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33</xdr:row>
          <xdr:rowOff>133350</xdr:rowOff>
        </xdr:from>
        <xdr:to>
          <xdr:col>3</xdr:col>
          <xdr:colOff>57150</xdr:colOff>
          <xdr:row>35</xdr:row>
          <xdr:rowOff>28575</xdr:rowOff>
        </xdr:to>
        <xdr:sp macro="" textlink="">
          <xdr:nvSpPr>
            <xdr:cNvPr id="27685" name="Check Box 37" hidden="1">
              <a:extLst>
                <a:ext uri="{63B3BB69-23CF-44E3-9099-C40C66FF867C}">
                  <a14:compatExt spid="_x0000_s27685"/>
                </a:ext>
                <a:ext uri="{FF2B5EF4-FFF2-40B4-BE49-F238E27FC236}">
                  <a16:creationId xmlns:a16="http://schemas.microsoft.com/office/drawing/2014/main" id="{00000000-0008-0000-0500-00002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33</xdr:row>
          <xdr:rowOff>133350</xdr:rowOff>
        </xdr:from>
        <xdr:to>
          <xdr:col>7</xdr:col>
          <xdr:colOff>9525</xdr:colOff>
          <xdr:row>35</xdr:row>
          <xdr:rowOff>28575</xdr:rowOff>
        </xdr:to>
        <xdr:sp macro="" textlink="">
          <xdr:nvSpPr>
            <xdr:cNvPr id="27686" name="Check Box 38" hidden="1">
              <a:extLst>
                <a:ext uri="{63B3BB69-23CF-44E3-9099-C40C66FF867C}">
                  <a14:compatExt spid="_x0000_s27686"/>
                </a:ext>
                <a:ext uri="{FF2B5EF4-FFF2-40B4-BE49-F238E27FC236}">
                  <a16:creationId xmlns:a16="http://schemas.microsoft.com/office/drawing/2014/main" id="{00000000-0008-0000-0500-00002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33</xdr:row>
          <xdr:rowOff>133350</xdr:rowOff>
        </xdr:from>
        <xdr:to>
          <xdr:col>5</xdr:col>
          <xdr:colOff>9525</xdr:colOff>
          <xdr:row>35</xdr:row>
          <xdr:rowOff>28575</xdr:rowOff>
        </xdr:to>
        <xdr:sp macro="" textlink="">
          <xdr:nvSpPr>
            <xdr:cNvPr id="27687" name="Check Box 39" hidden="1">
              <a:extLst>
                <a:ext uri="{63B3BB69-23CF-44E3-9099-C40C66FF867C}">
                  <a14:compatExt spid="_x0000_s27687"/>
                </a:ext>
                <a:ext uri="{FF2B5EF4-FFF2-40B4-BE49-F238E27FC236}">
                  <a16:creationId xmlns:a16="http://schemas.microsoft.com/office/drawing/2014/main" id="{00000000-0008-0000-0500-00002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34</xdr:row>
          <xdr:rowOff>133350</xdr:rowOff>
        </xdr:from>
        <xdr:to>
          <xdr:col>3</xdr:col>
          <xdr:colOff>57150</xdr:colOff>
          <xdr:row>36</xdr:row>
          <xdr:rowOff>28575</xdr:rowOff>
        </xdr:to>
        <xdr:sp macro="" textlink="">
          <xdr:nvSpPr>
            <xdr:cNvPr id="27688" name="Check Box 40" hidden="1">
              <a:extLst>
                <a:ext uri="{63B3BB69-23CF-44E3-9099-C40C66FF867C}">
                  <a14:compatExt spid="_x0000_s27688"/>
                </a:ext>
                <a:ext uri="{FF2B5EF4-FFF2-40B4-BE49-F238E27FC236}">
                  <a16:creationId xmlns:a16="http://schemas.microsoft.com/office/drawing/2014/main" id="{00000000-0008-0000-0500-00002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34</xdr:row>
          <xdr:rowOff>133350</xdr:rowOff>
        </xdr:from>
        <xdr:to>
          <xdr:col>7</xdr:col>
          <xdr:colOff>9525</xdr:colOff>
          <xdr:row>36</xdr:row>
          <xdr:rowOff>28575</xdr:rowOff>
        </xdr:to>
        <xdr:sp macro="" textlink="">
          <xdr:nvSpPr>
            <xdr:cNvPr id="27689" name="Check Box 41" hidden="1">
              <a:extLst>
                <a:ext uri="{63B3BB69-23CF-44E3-9099-C40C66FF867C}">
                  <a14:compatExt spid="_x0000_s27689"/>
                </a:ext>
                <a:ext uri="{FF2B5EF4-FFF2-40B4-BE49-F238E27FC236}">
                  <a16:creationId xmlns:a16="http://schemas.microsoft.com/office/drawing/2014/main" id="{00000000-0008-0000-0500-00002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34</xdr:row>
          <xdr:rowOff>133350</xdr:rowOff>
        </xdr:from>
        <xdr:to>
          <xdr:col>5</xdr:col>
          <xdr:colOff>9525</xdr:colOff>
          <xdr:row>36</xdr:row>
          <xdr:rowOff>28575</xdr:rowOff>
        </xdr:to>
        <xdr:sp macro="" textlink="">
          <xdr:nvSpPr>
            <xdr:cNvPr id="27690" name="Check Box 42" hidden="1">
              <a:extLst>
                <a:ext uri="{63B3BB69-23CF-44E3-9099-C40C66FF867C}">
                  <a14:compatExt spid="_x0000_s27690"/>
                </a:ext>
                <a:ext uri="{FF2B5EF4-FFF2-40B4-BE49-F238E27FC236}">
                  <a16:creationId xmlns:a16="http://schemas.microsoft.com/office/drawing/2014/main" id="{00000000-0008-0000-0500-00002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35</xdr:row>
          <xdr:rowOff>133350</xdr:rowOff>
        </xdr:from>
        <xdr:to>
          <xdr:col>3</xdr:col>
          <xdr:colOff>57150</xdr:colOff>
          <xdr:row>37</xdr:row>
          <xdr:rowOff>28575</xdr:rowOff>
        </xdr:to>
        <xdr:sp macro="" textlink="">
          <xdr:nvSpPr>
            <xdr:cNvPr id="27691" name="Check Box 43" hidden="1">
              <a:extLst>
                <a:ext uri="{63B3BB69-23CF-44E3-9099-C40C66FF867C}">
                  <a14:compatExt spid="_x0000_s27691"/>
                </a:ext>
                <a:ext uri="{FF2B5EF4-FFF2-40B4-BE49-F238E27FC236}">
                  <a16:creationId xmlns:a16="http://schemas.microsoft.com/office/drawing/2014/main" id="{00000000-0008-0000-0500-00002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35</xdr:row>
          <xdr:rowOff>133350</xdr:rowOff>
        </xdr:from>
        <xdr:to>
          <xdr:col>7</xdr:col>
          <xdr:colOff>9525</xdr:colOff>
          <xdr:row>37</xdr:row>
          <xdr:rowOff>28575</xdr:rowOff>
        </xdr:to>
        <xdr:sp macro="" textlink="">
          <xdr:nvSpPr>
            <xdr:cNvPr id="27692" name="Check Box 44" hidden="1">
              <a:extLst>
                <a:ext uri="{63B3BB69-23CF-44E3-9099-C40C66FF867C}">
                  <a14:compatExt spid="_x0000_s27692"/>
                </a:ext>
                <a:ext uri="{FF2B5EF4-FFF2-40B4-BE49-F238E27FC236}">
                  <a16:creationId xmlns:a16="http://schemas.microsoft.com/office/drawing/2014/main" id="{00000000-0008-0000-0500-00002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35</xdr:row>
          <xdr:rowOff>133350</xdr:rowOff>
        </xdr:from>
        <xdr:to>
          <xdr:col>5</xdr:col>
          <xdr:colOff>9525</xdr:colOff>
          <xdr:row>37</xdr:row>
          <xdr:rowOff>28575</xdr:rowOff>
        </xdr:to>
        <xdr:sp macro="" textlink="">
          <xdr:nvSpPr>
            <xdr:cNvPr id="27693" name="Check Box 45" hidden="1">
              <a:extLst>
                <a:ext uri="{63B3BB69-23CF-44E3-9099-C40C66FF867C}">
                  <a14:compatExt spid="_x0000_s27693"/>
                </a:ext>
                <a:ext uri="{FF2B5EF4-FFF2-40B4-BE49-F238E27FC236}">
                  <a16:creationId xmlns:a16="http://schemas.microsoft.com/office/drawing/2014/main" id="{00000000-0008-0000-0500-00002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37</xdr:row>
          <xdr:rowOff>133350</xdr:rowOff>
        </xdr:from>
        <xdr:to>
          <xdr:col>3</xdr:col>
          <xdr:colOff>57150</xdr:colOff>
          <xdr:row>39</xdr:row>
          <xdr:rowOff>28575</xdr:rowOff>
        </xdr:to>
        <xdr:sp macro="" textlink="">
          <xdr:nvSpPr>
            <xdr:cNvPr id="27694" name="Check Box 46" hidden="1">
              <a:extLst>
                <a:ext uri="{63B3BB69-23CF-44E3-9099-C40C66FF867C}">
                  <a14:compatExt spid="_x0000_s27694"/>
                </a:ext>
                <a:ext uri="{FF2B5EF4-FFF2-40B4-BE49-F238E27FC236}">
                  <a16:creationId xmlns:a16="http://schemas.microsoft.com/office/drawing/2014/main" id="{00000000-0008-0000-0500-00002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37</xdr:row>
          <xdr:rowOff>133350</xdr:rowOff>
        </xdr:from>
        <xdr:to>
          <xdr:col>7</xdr:col>
          <xdr:colOff>9525</xdr:colOff>
          <xdr:row>39</xdr:row>
          <xdr:rowOff>28575</xdr:rowOff>
        </xdr:to>
        <xdr:sp macro="" textlink="">
          <xdr:nvSpPr>
            <xdr:cNvPr id="27695" name="Check Box 47" hidden="1">
              <a:extLst>
                <a:ext uri="{63B3BB69-23CF-44E3-9099-C40C66FF867C}">
                  <a14:compatExt spid="_x0000_s27695"/>
                </a:ext>
                <a:ext uri="{FF2B5EF4-FFF2-40B4-BE49-F238E27FC236}">
                  <a16:creationId xmlns:a16="http://schemas.microsoft.com/office/drawing/2014/main" id="{00000000-0008-0000-0500-00002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37</xdr:row>
          <xdr:rowOff>133350</xdr:rowOff>
        </xdr:from>
        <xdr:to>
          <xdr:col>5</xdr:col>
          <xdr:colOff>9525</xdr:colOff>
          <xdr:row>39</xdr:row>
          <xdr:rowOff>28575</xdr:rowOff>
        </xdr:to>
        <xdr:sp macro="" textlink="">
          <xdr:nvSpPr>
            <xdr:cNvPr id="27696" name="Check Box 48" hidden="1">
              <a:extLst>
                <a:ext uri="{63B3BB69-23CF-44E3-9099-C40C66FF867C}">
                  <a14:compatExt spid="_x0000_s27696"/>
                </a:ext>
                <a:ext uri="{FF2B5EF4-FFF2-40B4-BE49-F238E27FC236}">
                  <a16:creationId xmlns:a16="http://schemas.microsoft.com/office/drawing/2014/main" id="{00000000-0008-0000-0500-00003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38</xdr:row>
          <xdr:rowOff>133350</xdr:rowOff>
        </xdr:from>
        <xdr:to>
          <xdr:col>3</xdr:col>
          <xdr:colOff>57150</xdr:colOff>
          <xdr:row>40</xdr:row>
          <xdr:rowOff>28575</xdr:rowOff>
        </xdr:to>
        <xdr:sp macro="" textlink="">
          <xdr:nvSpPr>
            <xdr:cNvPr id="27697" name="Check Box 49" hidden="1">
              <a:extLst>
                <a:ext uri="{63B3BB69-23CF-44E3-9099-C40C66FF867C}">
                  <a14:compatExt spid="_x0000_s27697"/>
                </a:ext>
                <a:ext uri="{FF2B5EF4-FFF2-40B4-BE49-F238E27FC236}">
                  <a16:creationId xmlns:a16="http://schemas.microsoft.com/office/drawing/2014/main" id="{00000000-0008-0000-0500-00003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38</xdr:row>
          <xdr:rowOff>133350</xdr:rowOff>
        </xdr:from>
        <xdr:to>
          <xdr:col>7</xdr:col>
          <xdr:colOff>9525</xdr:colOff>
          <xdr:row>40</xdr:row>
          <xdr:rowOff>28575</xdr:rowOff>
        </xdr:to>
        <xdr:sp macro="" textlink="">
          <xdr:nvSpPr>
            <xdr:cNvPr id="27698" name="Check Box 50" hidden="1">
              <a:extLst>
                <a:ext uri="{63B3BB69-23CF-44E3-9099-C40C66FF867C}">
                  <a14:compatExt spid="_x0000_s27698"/>
                </a:ext>
                <a:ext uri="{FF2B5EF4-FFF2-40B4-BE49-F238E27FC236}">
                  <a16:creationId xmlns:a16="http://schemas.microsoft.com/office/drawing/2014/main" id="{00000000-0008-0000-0500-00003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38</xdr:row>
          <xdr:rowOff>133350</xdr:rowOff>
        </xdr:from>
        <xdr:to>
          <xdr:col>5</xdr:col>
          <xdr:colOff>9525</xdr:colOff>
          <xdr:row>40</xdr:row>
          <xdr:rowOff>28575</xdr:rowOff>
        </xdr:to>
        <xdr:sp macro="" textlink="">
          <xdr:nvSpPr>
            <xdr:cNvPr id="27699" name="Check Box 51" hidden="1">
              <a:extLst>
                <a:ext uri="{63B3BB69-23CF-44E3-9099-C40C66FF867C}">
                  <a14:compatExt spid="_x0000_s27699"/>
                </a:ext>
                <a:ext uri="{FF2B5EF4-FFF2-40B4-BE49-F238E27FC236}">
                  <a16:creationId xmlns:a16="http://schemas.microsoft.com/office/drawing/2014/main" id="{00000000-0008-0000-0500-00003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36</xdr:row>
          <xdr:rowOff>133350</xdr:rowOff>
        </xdr:from>
        <xdr:to>
          <xdr:col>3</xdr:col>
          <xdr:colOff>57150</xdr:colOff>
          <xdr:row>38</xdr:row>
          <xdr:rowOff>28575</xdr:rowOff>
        </xdr:to>
        <xdr:sp macro="" textlink="">
          <xdr:nvSpPr>
            <xdr:cNvPr id="27700" name="Check Box 52" hidden="1">
              <a:extLst>
                <a:ext uri="{63B3BB69-23CF-44E3-9099-C40C66FF867C}">
                  <a14:compatExt spid="_x0000_s27700"/>
                </a:ext>
                <a:ext uri="{FF2B5EF4-FFF2-40B4-BE49-F238E27FC236}">
                  <a16:creationId xmlns:a16="http://schemas.microsoft.com/office/drawing/2014/main" id="{00000000-0008-0000-0500-00003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36</xdr:row>
          <xdr:rowOff>133350</xdr:rowOff>
        </xdr:from>
        <xdr:to>
          <xdr:col>7</xdr:col>
          <xdr:colOff>9525</xdr:colOff>
          <xdr:row>38</xdr:row>
          <xdr:rowOff>28575</xdr:rowOff>
        </xdr:to>
        <xdr:sp macro="" textlink="">
          <xdr:nvSpPr>
            <xdr:cNvPr id="27701" name="Check Box 53" hidden="1">
              <a:extLst>
                <a:ext uri="{63B3BB69-23CF-44E3-9099-C40C66FF867C}">
                  <a14:compatExt spid="_x0000_s27701"/>
                </a:ext>
                <a:ext uri="{FF2B5EF4-FFF2-40B4-BE49-F238E27FC236}">
                  <a16:creationId xmlns:a16="http://schemas.microsoft.com/office/drawing/2014/main" id="{00000000-0008-0000-0500-00003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36</xdr:row>
          <xdr:rowOff>133350</xdr:rowOff>
        </xdr:from>
        <xdr:to>
          <xdr:col>5</xdr:col>
          <xdr:colOff>9525</xdr:colOff>
          <xdr:row>38</xdr:row>
          <xdr:rowOff>28575</xdr:rowOff>
        </xdr:to>
        <xdr:sp macro="" textlink="">
          <xdr:nvSpPr>
            <xdr:cNvPr id="27702" name="Check Box 54" hidden="1">
              <a:extLst>
                <a:ext uri="{63B3BB69-23CF-44E3-9099-C40C66FF867C}">
                  <a14:compatExt spid="_x0000_s27702"/>
                </a:ext>
                <a:ext uri="{FF2B5EF4-FFF2-40B4-BE49-F238E27FC236}">
                  <a16:creationId xmlns:a16="http://schemas.microsoft.com/office/drawing/2014/main" id="{00000000-0008-0000-0500-00003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7</xdr:row>
          <xdr:rowOff>133350</xdr:rowOff>
        </xdr:from>
        <xdr:to>
          <xdr:col>2</xdr:col>
          <xdr:colOff>47625</xdr:colOff>
          <xdr:row>9</xdr:row>
          <xdr:rowOff>28575</xdr:rowOff>
        </xdr:to>
        <xdr:sp macro="" textlink="">
          <xdr:nvSpPr>
            <xdr:cNvPr id="27703" name="Check Box 55" hidden="1">
              <a:extLst>
                <a:ext uri="{63B3BB69-23CF-44E3-9099-C40C66FF867C}">
                  <a14:compatExt spid="_x0000_s27703"/>
                </a:ext>
                <a:ext uri="{FF2B5EF4-FFF2-40B4-BE49-F238E27FC236}">
                  <a16:creationId xmlns:a16="http://schemas.microsoft.com/office/drawing/2014/main" id="{00000000-0008-0000-0500-00003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39</xdr:row>
          <xdr:rowOff>133350</xdr:rowOff>
        </xdr:from>
        <xdr:to>
          <xdr:col>3</xdr:col>
          <xdr:colOff>57150</xdr:colOff>
          <xdr:row>41</xdr:row>
          <xdr:rowOff>28575</xdr:rowOff>
        </xdr:to>
        <xdr:sp macro="" textlink="">
          <xdr:nvSpPr>
            <xdr:cNvPr id="27704" name="Check Box 56" hidden="1">
              <a:extLst>
                <a:ext uri="{63B3BB69-23CF-44E3-9099-C40C66FF867C}">
                  <a14:compatExt spid="_x0000_s27704"/>
                </a:ext>
                <a:ext uri="{FF2B5EF4-FFF2-40B4-BE49-F238E27FC236}">
                  <a16:creationId xmlns:a16="http://schemas.microsoft.com/office/drawing/2014/main" id="{00000000-0008-0000-0500-00003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39</xdr:row>
          <xdr:rowOff>133350</xdr:rowOff>
        </xdr:from>
        <xdr:to>
          <xdr:col>7</xdr:col>
          <xdr:colOff>9525</xdr:colOff>
          <xdr:row>41</xdr:row>
          <xdr:rowOff>28575</xdr:rowOff>
        </xdr:to>
        <xdr:sp macro="" textlink="">
          <xdr:nvSpPr>
            <xdr:cNvPr id="27705" name="Check Box 57" hidden="1">
              <a:extLst>
                <a:ext uri="{63B3BB69-23CF-44E3-9099-C40C66FF867C}">
                  <a14:compatExt spid="_x0000_s27705"/>
                </a:ext>
                <a:ext uri="{FF2B5EF4-FFF2-40B4-BE49-F238E27FC236}">
                  <a16:creationId xmlns:a16="http://schemas.microsoft.com/office/drawing/2014/main" id="{00000000-0008-0000-0500-00003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39</xdr:row>
          <xdr:rowOff>133350</xdr:rowOff>
        </xdr:from>
        <xdr:to>
          <xdr:col>5</xdr:col>
          <xdr:colOff>9525</xdr:colOff>
          <xdr:row>41</xdr:row>
          <xdr:rowOff>28575</xdr:rowOff>
        </xdr:to>
        <xdr:sp macro="" textlink="">
          <xdr:nvSpPr>
            <xdr:cNvPr id="27706" name="Check Box 58" hidden="1">
              <a:extLst>
                <a:ext uri="{63B3BB69-23CF-44E3-9099-C40C66FF867C}">
                  <a14:compatExt spid="_x0000_s27706"/>
                </a:ext>
                <a:ext uri="{FF2B5EF4-FFF2-40B4-BE49-F238E27FC236}">
                  <a16:creationId xmlns:a16="http://schemas.microsoft.com/office/drawing/2014/main" id="{00000000-0008-0000-0500-00003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40</xdr:row>
          <xdr:rowOff>133350</xdr:rowOff>
        </xdr:from>
        <xdr:to>
          <xdr:col>3</xdr:col>
          <xdr:colOff>57150</xdr:colOff>
          <xdr:row>42</xdr:row>
          <xdr:rowOff>28575</xdr:rowOff>
        </xdr:to>
        <xdr:sp macro="" textlink="">
          <xdr:nvSpPr>
            <xdr:cNvPr id="27707" name="Check Box 59" hidden="1">
              <a:extLst>
                <a:ext uri="{63B3BB69-23CF-44E3-9099-C40C66FF867C}">
                  <a14:compatExt spid="_x0000_s27707"/>
                </a:ext>
                <a:ext uri="{FF2B5EF4-FFF2-40B4-BE49-F238E27FC236}">
                  <a16:creationId xmlns:a16="http://schemas.microsoft.com/office/drawing/2014/main" id="{00000000-0008-0000-0500-00003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40</xdr:row>
          <xdr:rowOff>133350</xdr:rowOff>
        </xdr:from>
        <xdr:to>
          <xdr:col>7</xdr:col>
          <xdr:colOff>9525</xdr:colOff>
          <xdr:row>42</xdr:row>
          <xdr:rowOff>28575</xdr:rowOff>
        </xdr:to>
        <xdr:sp macro="" textlink="">
          <xdr:nvSpPr>
            <xdr:cNvPr id="27708" name="Check Box 60" hidden="1">
              <a:extLst>
                <a:ext uri="{63B3BB69-23CF-44E3-9099-C40C66FF867C}">
                  <a14:compatExt spid="_x0000_s27708"/>
                </a:ext>
                <a:ext uri="{FF2B5EF4-FFF2-40B4-BE49-F238E27FC236}">
                  <a16:creationId xmlns:a16="http://schemas.microsoft.com/office/drawing/2014/main" id="{00000000-0008-0000-0500-00003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40</xdr:row>
          <xdr:rowOff>133350</xdr:rowOff>
        </xdr:from>
        <xdr:to>
          <xdr:col>5</xdr:col>
          <xdr:colOff>9525</xdr:colOff>
          <xdr:row>42</xdr:row>
          <xdr:rowOff>28575</xdr:rowOff>
        </xdr:to>
        <xdr:sp macro="" textlink="">
          <xdr:nvSpPr>
            <xdr:cNvPr id="27709" name="Check Box 61" hidden="1">
              <a:extLst>
                <a:ext uri="{63B3BB69-23CF-44E3-9099-C40C66FF867C}">
                  <a14:compatExt spid="_x0000_s27709"/>
                </a:ext>
                <a:ext uri="{FF2B5EF4-FFF2-40B4-BE49-F238E27FC236}">
                  <a16:creationId xmlns:a16="http://schemas.microsoft.com/office/drawing/2014/main" id="{00000000-0008-0000-0500-00003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41</xdr:row>
          <xdr:rowOff>133350</xdr:rowOff>
        </xdr:from>
        <xdr:to>
          <xdr:col>3</xdr:col>
          <xdr:colOff>57150</xdr:colOff>
          <xdr:row>43</xdr:row>
          <xdr:rowOff>28575</xdr:rowOff>
        </xdr:to>
        <xdr:sp macro="" textlink="">
          <xdr:nvSpPr>
            <xdr:cNvPr id="27710" name="Check Box 62" hidden="1">
              <a:extLst>
                <a:ext uri="{63B3BB69-23CF-44E3-9099-C40C66FF867C}">
                  <a14:compatExt spid="_x0000_s27710"/>
                </a:ext>
                <a:ext uri="{FF2B5EF4-FFF2-40B4-BE49-F238E27FC236}">
                  <a16:creationId xmlns:a16="http://schemas.microsoft.com/office/drawing/2014/main" id="{00000000-0008-0000-0500-00003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41</xdr:row>
          <xdr:rowOff>133350</xdr:rowOff>
        </xdr:from>
        <xdr:to>
          <xdr:col>7</xdr:col>
          <xdr:colOff>9525</xdr:colOff>
          <xdr:row>43</xdr:row>
          <xdr:rowOff>28575</xdr:rowOff>
        </xdr:to>
        <xdr:sp macro="" textlink="">
          <xdr:nvSpPr>
            <xdr:cNvPr id="27711" name="Check Box 63" hidden="1">
              <a:extLst>
                <a:ext uri="{63B3BB69-23CF-44E3-9099-C40C66FF867C}">
                  <a14:compatExt spid="_x0000_s27711"/>
                </a:ext>
                <a:ext uri="{FF2B5EF4-FFF2-40B4-BE49-F238E27FC236}">
                  <a16:creationId xmlns:a16="http://schemas.microsoft.com/office/drawing/2014/main" id="{00000000-0008-0000-0500-00003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41</xdr:row>
          <xdr:rowOff>133350</xdr:rowOff>
        </xdr:from>
        <xdr:to>
          <xdr:col>5</xdr:col>
          <xdr:colOff>9525</xdr:colOff>
          <xdr:row>43</xdr:row>
          <xdr:rowOff>28575</xdr:rowOff>
        </xdr:to>
        <xdr:sp macro="" textlink="">
          <xdr:nvSpPr>
            <xdr:cNvPr id="27712" name="Check Box 64" hidden="1">
              <a:extLst>
                <a:ext uri="{63B3BB69-23CF-44E3-9099-C40C66FF867C}">
                  <a14:compatExt spid="_x0000_s27712"/>
                </a:ext>
                <a:ext uri="{FF2B5EF4-FFF2-40B4-BE49-F238E27FC236}">
                  <a16:creationId xmlns:a16="http://schemas.microsoft.com/office/drawing/2014/main" id="{00000000-0008-0000-0500-00004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42</xdr:row>
          <xdr:rowOff>133350</xdr:rowOff>
        </xdr:from>
        <xdr:to>
          <xdr:col>3</xdr:col>
          <xdr:colOff>57150</xdr:colOff>
          <xdr:row>44</xdr:row>
          <xdr:rowOff>28575</xdr:rowOff>
        </xdr:to>
        <xdr:sp macro="" textlink="">
          <xdr:nvSpPr>
            <xdr:cNvPr id="27713" name="Check Box 65" hidden="1">
              <a:extLst>
                <a:ext uri="{63B3BB69-23CF-44E3-9099-C40C66FF867C}">
                  <a14:compatExt spid="_x0000_s27713"/>
                </a:ext>
                <a:ext uri="{FF2B5EF4-FFF2-40B4-BE49-F238E27FC236}">
                  <a16:creationId xmlns:a16="http://schemas.microsoft.com/office/drawing/2014/main" id="{00000000-0008-0000-0500-00004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42</xdr:row>
          <xdr:rowOff>133350</xdr:rowOff>
        </xdr:from>
        <xdr:to>
          <xdr:col>7</xdr:col>
          <xdr:colOff>9525</xdr:colOff>
          <xdr:row>44</xdr:row>
          <xdr:rowOff>28575</xdr:rowOff>
        </xdr:to>
        <xdr:sp macro="" textlink="">
          <xdr:nvSpPr>
            <xdr:cNvPr id="27714" name="Check Box 66" hidden="1">
              <a:extLst>
                <a:ext uri="{63B3BB69-23CF-44E3-9099-C40C66FF867C}">
                  <a14:compatExt spid="_x0000_s27714"/>
                </a:ext>
                <a:ext uri="{FF2B5EF4-FFF2-40B4-BE49-F238E27FC236}">
                  <a16:creationId xmlns:a16="http://schemas.microsoft.com/office/drawing/2014/main" id="{00000000-0008-0000-0500-00004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42</xdr:row>
          <xdr:rowOff>133350</xdr:rowOff>
        </xdr:from>
        <xdr:to>
          <xdr:col>5</xdr:col>
          <xdr:colOff>9525</xdr:colOff>
          <xdr:row>44</xdr:row>
          <xdr:rowOff>28575</xdr:rowOff>
        </xdr:to>
        <xdr:sp macro="" textlink="">
          <xdr:nvSpPr>
            <xdr:cNvPr id="27715" name="Check Box 67" hidden="1">
              <a:extLst>
                <a:ext uri="{63B3BB69-23CF-44E3-9099-C40C66FF867C}">
                  <a14:compatExt spid="_x0000_s27715"/>
                </a:ext>
                <a:ext uri="{FF2B5EF4-FFF2-40B4-BE49-F238E27FC236}">
                  <a16:creationId xmlns:a16="http://schemas.microsoft.com/office/drawing/2014/main" id="{00000000-0008-0000-0500-00004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45</xdr:row>
          <xdr:rowOff>133350</xdr:rowOff>
        </xdr:from>
        <xdr:to>
          <xdr:col>3</xdr:col>
          <xdr:colOff>57150</xdr:colOff>
          <xdr:row>47</xdr:row>
          <xdr:rowOff>28575</xdr:rowOff>
        </xdr:to>
        <xdr:sp macro="" textlink="">
          <xdr:nvSpPr>
            <xdr:cNvPr id="27716" name="Check Box 68" hidden="1">
              <a:extLst>
                <a:ext uri="{63B3BB69-23CF-44E3-9099-C40C66FF867C}">
                  <a14:compatExt spid="_x0000_s27716"/>
                </a:ext>
                <a:ext uri="{FF2B5EF4-FFF2-40B4-BE49-F238E27FC236}">
                  <a16:creationId xmlns:a16="http://schemas.microsoft.com/office/drawing/2014/main" id="{00000000-0008-0000-0500-00004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45</xdr:row>
          <xdr:rowOff>133350</xdr:rowOff>
        </xdr:from>
        <xdr:to>
          <xdr:col>7</xdr:col>
          <xdr:colOff>0</xdr:colOff>
          <xdr:row>47</xdr:row>
          <xdr:rowOff>28575</xdr:rowOff>
        </xdr:to>
        <xdr:sp macro="" textlink="">
          <xdr:nvSpPr>
            <xdr:cNvPr id="27717" name="Check Box 69" hidden="1">
              <a:extLst>
                <a:ext uri="{63B3BB69-23CF-44E3-9099-C40C66FF867C}">
                  <a14:compatExt spid="_x0000_s27717"/>
                </a:ext>
                <a:ext uri="{FF2B5EF4-FFF2-40B4-BE49-F238E27FC236}">
                  <a16:creationId xmlns:a16="http://schemas.microsoft.com/office/drawing/2014/main" id="{00000000-0008-0000-0500-00004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45</xdr:row>
          <xdr:rowOff>133350</xdr:rowOff>
        </xdr:from>
        <xdr:to>
          <xdr:col>5</xdr:col>
          <xdr:colOff>9525</xdr:colOff>
          <xdr:row>47</xdr:row>
          <xdr:rowOff>28575</xdr:rowOff>
        </xdr:to>
        <xdr:sp macro="" textlink="">
          <xdr:nvSpPr>
            <xdr:cNvPr id="27718" name="Check Box 70" hidden="1">
              <a:extLst>
                <a:ext uri="{63B3BB69-23CF-44E3-9099-C40C66FF867C}">
                  <a14:compatExt spid="_x0000_s27718"/>
                </a:ext>
                <a:ext uri="{FF2B5EF4-FFF2-40B4-BE49-F238E27FC236}">
                  <a16:creationId xmlns:a16="http://schemas.microsoft.com/office/drawing/2014/main" id="{00000000-0008-0000-0500-00004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47</xdr:row>
          <xdr:rowOff>142875</xdr:rowOff>
        </xdr:from>
        <xdr:to>
          <xdr:col>3</xdr:col>
          <xdr:colOff>57150</xdr:colOff>
          <xdr:row>49</xdr:row>
          <xdr:rowOff>38100</xdr:rowOff>
        </xdr:to>
        <xdr:sp macro="" textlink="">
          <xdr:nvSpPr>
            <xdr:cNvPr id="27719" name="Check Box 71" hidden="1">
              <a:extLst>
                <a:ext uri="{63B3BB69-23CF-44E3-9099-C40C66FF867C}">
                  <a14:compatExt spid="_x0000_s27719"/>
                </a:ext>
                <a:ext uri="{FF2B5EF4-FFF2-40B4-BE49-F238E27FC236}">
                  <a16:creationId xmlns:a16="http://schemas.microsoft.com/office/drawing/2014/main" id="{00000000-0008-0000-0500-00004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47</xdr:row>
          <xdr:rowOff>142875</xdr:rowOff>
        </xdr:from>
        <xdr:to>
          <xdr:col>7</xdr:col>
          <xdr:colOff>9525</xdr:colOff>
          <xdr:row>49</xdr:row>
          <xdr:rowOff>38100</xdr:rowOff>
        </xdr:to>
        <xdr:sp macro="" textlink="">
          <xdr:nvSpPr>
            <xdr:cNvPr id="27720" name="Check Box 72" hidden="1">
              <a:extLst>
                <a:ext uri="{63B3BB69-23CF-44E3-9099-C40C66FF867C}">
                  <a14:compatExt spid="_x0000_s27720"/>
                </a:ext>
                <a:ext uri="{FF2B5EF4-FFF2-40B4-BE49-F238E27FC236}">
                  <a16:creationId xmlns:a16="http://schemas.microsoft.com/office/drawing/2014/main" id="{00000000-0008-0000-0500-00004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47</xdr:row>
          <xdr:rowOff>142875</xdr:rowOff>
        </xdr:from>
        <xdr:to>
          <xdr:col>5</xdr:col>
          <xdr:colOff>9525</xdr:colOff>
          <xdr:row>49</xdr:row>
          <xdr:rowOff>38100</xdr:rowOff>
        </xdr:to>
        <xdr:sp macro="" textlink="">
          <xdr:nvSpPr>
            <xdr:cNvPr id="27721" name="Check Box 73" hidden="1">
              <a:extLst>
                <a:ext uri="{63B3BB69-23CF-44E3-9099-C40C66FF867C}">
                  <a14:compatExt spid="_x0000_s27721"/>
                </a:ext>
                <a:ext uri="{FF2B5EF4-FFF2-40B4-BE49-F238E27FC236}">
                  <a16:creationId xmlns:a16="http://schemas.microsoft.com/office/drawing/2014/main" id="{00000000-0008-0000-0500-00004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48</xdr:row>
          <xdr:rowOff>133350</xdr:rowOff>
        </xdr:from>
        <xdr:to>
          <xdr:col>3</xdr:col>
          <xdr:colOff>57150</xdr:colOff>
          <xdr:row>50</xdr:row>
          <xdr:rowOff>28575</xdr:rowOff>
        </xdr:to>
        <xdr:sp macro="" textlink="">
          <xdr:nvSpPr>
            <xdr:cNvPr id="27722" name="Check Box 74" hidden="1">
              <a:extLst>
                <a:ext uri="{63B3BB69-23CF-44E3-9099-C40C66FF867C}">
                  <a14:compatExt spid="_x0000_s27722"/>
                </a:ext>
                <a:ext uri="{FF2B5EF4-FFF2-40B4-BE49-F238E27FC236}">
                  <a16:creationId xmlns:a16="http://schemas.microsoft.com/office/drawing/2014/main" id="{00000000-0008-0000-0500-00004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48</xdr:row>
          <xdr:rowOff>133350</xdr:rowOff>
        </xdr:from>
        <xdr:to>
          <xdr:col>7</xdr:col>
          <xdr:colOff>0</xdr:colOff>
          <xdr:row>50</xdr:row>
          <xdr:rowOff>28575</xdr:rowOff>
        </xdr:to>
        <xdr:sp macro="" textlink="">
          <xdr:nvSpPr>
            <xdr:cNvPr id="27723" name="Check Box 75" hidden="1">
              <a:extLst>
                <a:ext uri="{63B3BB69-23CF-44E3-9099-C40C66FF867C}">
                  <a14:compatExt spid="_x0000_s27723"/>
                </a:ext>
                <a:ext uri="{FF2B5EF4-FFF2-40B4-BE49-F238E27FC236}">
                  <a16:creationId xmlns:a16="http://schemas.microsoft.com/office/drawing/2014/main" id="{00000000-0008-0000-0500-00004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48</xdr:row>
          <xdr:rowOff>133350</xdr:rowOff>
        </xdr:from>
        <xdr:to>
          <xdr:col>5</xdr:col>
          <xdr:colOff>9525</xdr:colOff>
          <xdr:row>50</xdr:row>
          <xdr:rowOff>28575</xdr:rowOff>
        </xdr:to>
        <xdr:sp macro="" textlink="">
          <xdr:nvSpPr>
            <xdr:cNvPr id="27724" name="Check Box 76" hidden="1">
              <a:extLst>
                <a:ext uri="{63B3BB69-23CF-44E3-9099-C40C66FF867C}">
                  <a14:compatExt spid="_x0000_s27724"/>
                </a:ext>
                <a:ext uri="{FF2B5EF4-FFF2-40B4-BE49-F238E27FC236}">
                  <a16:creationId xmlns:a16="http://schemas.microsoft.com/office/drawing/2014/main" id="{00000000-0008-0000-0500-00004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49</xdr:row>
          <xdr:rowOff>133350</xdr:rowOff>
        </xdr:from>
        <xdr:to>
          <xdr:col>3</xdr:col>
          <xdr:colOff>57150</xdr:colOff>
          <xdr:row>51</xdr:row>
          <xdr:rowOff>28575</xdr:rowOff>
        </xdr:to>
        <xdr:sp macro="" textlink="">
          <xdr:nvSpPr>
            <xdr:cNvPr id="27725" name="Check Box 77" hidden="1">
              <a:extLst>
                <a:ext uri="{63B3BB69-23CF-44E3-9099-C40C66FF867C}">
                  <a14:compatExt spid="_x0000_s27725"/>
                </a:ext>
                <a:ext uri="{FF2B5EF4-FFF2-40B4-BE49-F238E27FC236}">
                  <a16:creationId xmlns:a16="http://schemas.microsoft.com/office/drawing/2014/main" id="{00000000-0008-0000-0500-00004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49</xdr:row>
          <xdr:rowOff>133350</xdr:rowOff>
        </xdr:from>
        <xdr:to>
          <xdr:col>7</xdr:col>
          <xdr:colOff>9525</xdr:colOff>
          <xdr:row>51</xdr:row>
          <xdr:rowOff>28575</xdr:rowOff>
        </xdr:to>
        <xdr:sp macro="" textlink="">
          <xdr:nvSpPr>
            <xdr:cNvPr id="27726" name="Check Box 78" hidden="1">
              <a:extLst>
                <a:ext uri="{63B3BB69-23CF-44E3-9099-C40C66FF867C}">
                  <a14:compatExt spid="_x0000_s27726"/>
                </a:ext>
                <a:ext uri="{FF2B5EF4-FFF2-40B4-BE49-F238E27FC236}">
                  <a16:creationId xmlns:a16="http://schemas.microsoft.com/office/drawing/2014/main" id="{00000000-0008-0000-0500-00004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49</xdr:row>
          <xdr:rowOff>133350</xdr:rowOff>
        </xdr:from>
        <xdr:to>
          <xdr:col>5</xdr:col>
          <xdr:colOff>9525</xdr:colOff>
          <xdr:row>51</xdr:row>
          <xdr:rowOff>28575</xdr:rowOff>
        </xdr:to>
        <xdr:sp macro="" textlink="">
          <xdr:nvSpPr>
            <xdr:cNvPr id="27727" name="Check Box 79" hidden="1">
              <a:extLst>
                <a:ext uri="{63B3BB69-23CF-44E3-9099-C40C66FF867C}">
                  <a14:compatExt spid="_x0000_s27727"/>
                </a:ext>
                <a:ext uri="{FF2B5EF4-FFF2-40B4-BE49-F238E27FC236}">
                  <a16:creationId xmlns:a16="http://schemas.microsoft.com/office/drawing/2014/main" id="{00000000-0008-0000-0500-00004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53</xdr:row>
          <xdr:rowOff>142875</xdr:rowOff>
        </xdr:from>
        <xdr:to>
          <xdr:col>3</xdr:col>
          <xdr:colOff>57150</xdr:colOff>
          <xdr:row>55</xdr:row>
          <xdr:rowOff>38100</xdr:rowOff>
        </xdr:to>
        <xdr:sp macro="" textlink="">
          <xdr:nvSpPr>
            <xdr:cNvPr id="27728" name="Check Box 80" hidden="1">
              <a:extLst>
                <a:ext uri="{63B3BB69-23CF-44E3-9099-C40C66FF867C}">
                  <a14:compatExt spid="_x0000_s27728"/>
                </a:ext>
                <a:ext uri="{FF2B5EF4-FFF2-40B4-BE49-F238E27FC236}">
                  <a16:creationId xmlns:a16="http://schemas.microsoft.com/office/drawing/2014/main" id="{00000000-0008-0000-0500-00005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53</xdr:row>
          <xdr:rowOff>142875</xdr:rowOff>
        </xdr:from>
        <xdr:to>
          <xdr:col>7</xdr:col>
          <xdr:colOff>9525</xdr:colOff>
          <xdr:row>55</xdr:row>
          <xdr:rowOff>38100</xdr:rowOff>
        </xdr:to>
        <xdr:sp macro="" textlink="">
          <xdr:nvSpPr>
            <xdr:cNvPr id="27729" name="Check Box 81" hidden="1">
              <a:extLst>
                <a:ext uri="{63B3BB69-23CF-44E3-9099-C40C66FF867C}">
                  <a14:compatExt spid="_x0000_s27729"/>
                </a:ext>
                <a:ext uri="{FF2B5EF4-FFF2-40B4-BE49-F238E27FC236}">
                  <a16:creationId xmlns:a16="http://schemas.microsoft.com/office/drawing/2014/main" id="{00000000-0008-0000-0500-00005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53</xdr:row>
          <xdr:rowOff>142875</xdr:rowOff>
        </xdr:from>
        <xdr:to>
          <xdr:col>5</xdr:col>
          <xdr:colOff>9525</xdr:colOff>
          <xdr:row>55</xdr:row>
          <xdr:rowOff>38100</xdr:rowOff>
        </xdr:to>
        <xdr:sp macro="" textlink="">
          <xdr:nvSpPr>
            <xdr:cNvPr id="27730" name="Check Box 82" hidden="1">
              <a:extLst>
                <a:ext uri="{63B3BB69-23CF-44E3-9099-C40C66FF867C}">
                  <a14:compatExt spid="_x0000_s27730"/>
                </a:ext>
                <a:ext uri="{FF2B5EF4-FFF2-40B4-BE49-F238E27FC236}">
                  <a16:creationId xmlns:a16="http://schemas.microsoft.com/office/drawing/2014/main" id="{00000000-0008-0000-0500-00005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54</xdr:row>
          <xdr:rowOff>133350</xdr:rowOff>
        </xdr:from>
        <xdr:to>
          <xdr:col>3</xdr:col>
          <xdr:colOff>57150</xdr:colOff>
          <xdr:row>56</xdr:row>
          <xdr:rowOff>28575</xdr:rowOff>
        </xdr:to>
        <xdr:sp macro="" textlink="">
          <xdr:nvSpPr>
            <xdr:cNvPr id="27731" name="Check Box 83" hidden="1">
              <a:extLst>
                <a:ext uri="{63B3BB69-23CF-44E3-9099-C40C66FF867C}">
                  <a14:compatExt spid="_x0000_s27731"/>
                </a:ext>
                <a:ext uri="{FF2B5EF4-FFF2-40B4-BE49-F238E27FC236}">
                  <a16:creationId xmlns:a16="http://schemas.microsoft.com/office/drawing/2014/main" id="{00000000-0008-0000-0500-00005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54</xdr:row>
          <xdr:rowOff>133350</xdr:rowOff>
        </xdr:from>
        <xdr:to>
          <xdr:col>7</xdr:col>
          <xdr:colOff>0</xdr:colOff>
          <xdr:row>56</xdr:row>
          <xdr:rowOff>28575</xdr:rowOff>
        </xdr:to>
        <xdr:sp macro="" textlink="">
          <xdr:nvSpPr>
            <xdr:cNvPr id="27732" name="Check Box 84" hidden="1">
              <a:extLst>
                <a:ext uri="{63B3BB69-23CF-44E3-9099-C40C66FF867C}">
                  <a14:compatExt spid="_x0000_s27732"/>
                </a:ext>
                <a:ext uri="{FF2B5EF4-FFF2-40B4-BE49-F238E27FC236}">
                  <a16:creationId xmlns:a16="http://schemas.microsoft.com/office/drawing/2014/main" id="{00000000-0008-0000-0500-00005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54</xdr:row>
          <xdr:rowOff>133350</xdr:rowOff>
        </xdr:from>
        <xdr:to>
          <xdr:col>5</xdr:col>
          <xdr:colOff>9525</xdr:colOff>
          <xdr:row>56</xdr:row>
          <xdr:rowOff>28575</xdr:rowOff>
        </xdr:to>
        <xdr:sp macro="" textlink="">
          <xdr:nvSpPr>
            <xdr:cNvPr id="27733" name="Check Box 85" hidden="1">
              <a:extLst>
                <a:ext uri="{63B3BB69-23CF-44E3-9099-C40C66FF867C}">
                  <a14:compatExt spid="_x0000_s27733"/>
                </a:ext>
                <a:ext uri="{FF2B5EF4-FFF2-40B4-BE49-F238E27FC236}">
                  <a16:creationId xmlns:a16="http://schemas.microsoft.com/office/drawing/2014/main" id="{00000000-0008-0000-0500-00005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55</xdr:row>
          <xdr:rowOff>133350</xdr:rowOff>
        </xdr:from>
        <xdr:to>
          <xdr:col>3</xdr:col>
          <xdr:colOff>57150</xdr:colOff>
          <xdr:row>57</xdr:row>
          <xdr:rowOff>28575</xdr:rowOff>
        </xdr:to>
        <xdr:sp macro="" textlink="">
          <xdr:nvSpPr>
            <xdr:cNvPr id="27734" name="Check Box 86" hidden="1">
              <a:extLst>
                <a:ext uri="{63B3BB69-23CF-44E3-9099-C40C66FF867C}">
                  <a14:compatExt spid="_x0000_s27734"/>
                </a:ext>
                <a:ext uri="{FF2B5EF4-FFF2-40B4-BE49-F238E27FC236}">
                  <a16:creationId xmlns:a16="http://schemas.microsoft.com/office/drawing/2014/main" id="{00000000-0008-0000-0500-00005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55</xdr:row>
          <xdr:rowOff>133350</xdr:rowOff>
        </xdr:from>
        <xdr:to>
          <xdr:col>7</xdr:col>
          <xdr:colOff>9525</xdr:colOff>
          <xdr:row>57</xdr:row>
          <xdr:rowOff>28575</xdr:rowOff>
        </xdr:to>
        <xdr:sp macro="" textlink="">
          <xdr:nvSpPr>
            <xdr:cNvPr id="27735" name="Check Box 87" hidden="1">
              <a:extLst>
                <a:ext uri="{63B3BB69-23CF-44E3-9099-C40C66FF867C}">
                  <a14:compatExt spid="_x0000_s27735"/>
                </a:ext>
                <a:ext uri="{FF2B5EF4-FFF2-40B4-BE49-F238E27FC236}">
                  <a16:creationId xmlns:a16="http://schemas.microsoft.com/office/drawing/2014/main" id="{00000000-0008-0000-0500-00005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55</xdr:row>
          <xdr:rowOff>133350</xdr:rowOff>
        </xdr:from>
        <xdr:to>
          <xdr:col>5</xdr:col>
          <xdr:colOff>9525</xdr:colOff>
          <xdr:row>57</xdr:row>
          <xdr:rowOff>28575</xdr:rowOff>
        </xdr:to>
        <xdr:sp macro="" textlink="">
          <xdr:nvSpPr>
            <xdr:cNvPr id="27736" name="Check Box 88" hidden="1">
              <a:extLst>
                <a:ext uri="{63B3BB69-23CF-44E3-9099-C40C66FF867C}">
                  <a14:compatExt spid="_x0000_s27736"/>
                </a:ext>
                <a:ext uri="{FF2B5EF4-FFF2-40B4-BE49-F238E27FC236}">
                  <a16:creationId xmlns:a16="http://schemas.microsoft.com/office/drawing/2014/main" id="{00000000-0008-0000-0500-00005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56</xdr:row>
          <xdr:rowOff>133350</xdr:rowOff>
        </xdr:from>
        <xdr:to>
          <xdr:col>3</xdr:col>
          <xdr:colOff>57150</xdr:colOff>
          <xdr:row>58</xdr:row>
          <xdr:rowOff>28575</xdr:rowOff>
        </xdr:to>
        <xdr:sp macro="" textlink="">
          <xdr:nvSpPr>
            <xdr:cNvPr id="27737" name="Check Box 89" hidden="1">
              <a:extLst>
                <a:ext uri="{63B3BB69-23CF-44E3-9099-C40C66FF867C}">
                  <a14:compatExt spid="_x0000_s27737"/>
                </a:ext>
                <a:ext uri="{FF2B5EF4-FFF2-40B4-BE49-F238E27FC236}">
                  <a16:creationId xmlns:a16="http://schemas.microsoft.com/office/drawing/2014/main" id="{00000000-0008-0000-0500-00005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56</xdr:row>
          <xdr:rowOff>133350</xdr:rowOff>
        </xdr:from>
        <xdr:to>
          <xdr:col>7</xdr:col>
          <xdr:colOff>9525</xdr:colOff>
          <xdr:row>58</xdr:row>
          <xdr:rowOff>28575</xdr:rowOff>
        </xdr:to>
        <xdr:sp macro="" textlink="">
          <xdr:nvSpPr>
            <xdr:cNvPr id="27738" name="Check Box 90" hidden="1">
              <a:extLst>
                <a:ext uri="{63B3BB69-23CF-44E3-9099-C40C66FF867C}">
                  <a14:compatExt spid="_x0000_s27738"/>
                </a:ext>
                <a:ext uri="{FF2B5EF4-FFF2-40B4-BE49-F238E27FC236}">
                  <a16:creationId xmlns:a16="http://schemas.microsoft.com/office/drawing/2014/main" id="{00000000-0008-0000-0500-00005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56</xdr:row>
          <xdr:rowOff>133350</xdr:rowOff>
        </xdr:from>
        <xdr:to>
          <xdr:col>5</xdr:col>
          <xdr:colOff>9525</xdr:colOff>
          <xdr:row>58</xdr:row>
          <xdr:rowOff>28575</xdr:rowOff>
        </xdr:to>
        <xdr:sp macro="" textlink="">
          <xdr:nvSpPr>
            <xdr:cNvPr id="27739" name="Check Box 91" hidden="1">
              <a:extLst>
                <a:ext uri="{63B3BB69-23CF-44E3-9099-C40C66FF867C}">
                  <a14:compatExt spid="_x0000_s27739"/>
                </a:ext>
                <a:ext uri="{FF2B5EF4-FFF2-40B4-BE49-F238E27FC236}">
                  <a16:creationId xmlns:a16="http://schemas.microsoft.com/office/drawing/2014/main" id="{00000000-0008-0000-0500-00005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57</xdr:row>
          <xdr:rowOff>133350</xdr:rowOff>
        </xdr:from>
        <xdr:to>
          <xdr:col>3</xdr:col>
          <xdr:colOff>57150</xdr:colOff>
          <xdr:row>59</xdr:row>
          <xdr:rowOff>28575</xdr:rowOff>
        </xdr:to>
        <xdr:sp macro="" textlink="">
          <xdr:nvSpPr>
            <xdr:cNvPr id="27740" name="Check Box 92" hidden="1">
              <a:extLst>
                <a:ext uri="{63B3BB69-23CF-44E3-9099-C40C66FF867C}">
                  <a14:compatExt spid="_x0000_s27740"/>
                </a:ext>
                <a:ext uri="{FF2B5EF4-FFF2-40B4-BE49-F238E27FC236}">
                  <a16:creationId xmlns:a16="http://schemas.microsoft.com/office/drawing/2014/main" id="{00000000-0008-0000-0500-00005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57</xdr:row>
          <xdr:rowOff>133350</xdr:rowOff>
        </xdr:from>
        <xdr:to>
          <xdr:col>7</xdr:col>
          <xdr:colOff>9525</xdr:colOff>
          <xdr:row>59</xdr:row>
          <xdr:rowOff>28575</xdr:rowOff>
        </xdr:to>
        <xdr:sp macro="" textlink="">
          <xdr:nvSpPr>
            <xdr:cNvPr id="27741" name="Check Box 93" hidden="1">
              <a:extLst>
                <a:ext uri="{63B3BB69-23CF-44E3-9099-C40C66FF867C}">
                  <a14:compatExt spid="_x0000_s27741"/>
                </a:ext>
                <a:ext uri="{FF2B5EF4-FFF2-40B4-BE49-F238E27FC236}">
                  <a16:creationId xmlns:a16="http://schemas.microsoft.com/office/drawing/2014/main" id="{00000000-0008-0000-0500-00005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57</xdr:row>
          <xdr:rowOff>133350</xdr:rowOff>
        </xdr:from>
        <xdr:to>
          <xdr:col>5</xdr:col>
          <xdr:colOff>9525</xdr:colOff>
          <xdr:row>59</xdr:row>
          <xdr:rowOff>28575</xdr:rowOff>
        </xdr:to>
        <xdr:sp macro="" textlink="">
          <xdr:nvSpPr>
            <xdr:cNvPr id="27742" name="Check Box 94" hidden="1">
              <a:extLst>
                <a:ext uri="{63B3BB69-23CF-44E3-9099-C40C66FF867C}">
                  <a14:compatExt spid="_x0000_s27742"/>
                </a:ext>
                <a:ext uri="{FF2B5EF4-FFF2-40B4-BE49-F238E27FC236}">
                  <a16:creationId xmlns:a16="http://schemas.microsoft.com/office/drawing/2014/main" id="{00000000-0008-0000-0500-00005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58</xdr:row>
          <xdr:rowOff>133350</xdr:rowOff>
        </xdr:from>
        <xdr:to>
          <xdr:col>3</xdr:col>
          <xdr:colOff>57150</xdr:colOff>
          <xdr:row>60</xdr:row>
          <xdr:rowOff>28575</xdr:rowOff>
        </xdr:to>
        <xdr:sp macro="" textlink="">
          <xdr:nvSpPr>
            <xdr:cNvPr id="27743" name="Check Box 95" hidden="1">
              <a:extLst>
                <a:ext uri="{63B3BB69-23CF-44E3-9099-C40C66FF867C}">
                  <a14:compatExt spid="_x0000_s27743"/>
                </a:ext>
                <a:ext uri="{FF2B5EF4-FFF2-40B4-BE49-F238E27FC236}">
                  <a16:creationId xmlns:a16="http://schemas.microsoft.com/office/drawing/2014/main" id="{00000000-0008-0000-0500-00005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58</xdr:row>
          <xdr:rowOff>133350</xdr:rowOff>
        </xdr:from>
        <xdr:to>
          <xdr:col>7</xdr:col>
          <xdr:colOff>9525</xdr:colOff>
          <xdr:row>60</xdr:row>
          <xdr:rowOff>28575</xdr:rowOff>
        </xdr:to>
        <xdr:sp macro="" textlink="">
          <xdr:nvSpPr>
            <xdr:cNvPr id="27744" name="Check Box 96" hidden="1">
              <a:extLst>
                <a:ext uri="{63B3BB69-23CF-44E3-9099-C40C66FF867C}">
                  <a14:compatExt spid="_x0000_s27744"/>
                </a:ext>
                <a:ext uri="{FF2B5EF4-FFF2-40B4-BE49-F238E27FC236}">
                  <a16:creationId xmlns:a16="http://schemas.microsoft.com/office/drawing/2014/main" id="{00000000-0008-0000-0500-00006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58</xdr:row>
          <xdr:rowOff>133350</xdr:rowOff>
        </xdr:from>
        <xdr:to>
          <xdr:col>5</xdr:col>
          <xdr:colOff>9525</xdr:colOff>
          <xdr:row>60</xdr:row>
          <xdr:rowOff>28575</xdr:rowOff>
        </xdr:to>
        <xdr:sp macro="" textlink="">
          <xdr:nvSpPr>
            <xdr:cNvPr id="27745" name="Check Box 97" hidden="1">
              <a:extLst>
                <a:ext uri="{63B3BB69-23CF-44E3-9099-C40C66FF867C}">
                  <a14:compatExt spid="_x0000_s27745"/>
                </a:ext>
                <a:ext uri="{FF2B5EF4-FFF2-40B4-BE49-F238E27FC236}">
                  <a16:creationId xmlns:a16="http://schemas.microsoft.com/office/drawing/2014/main" id="{00000000-0008-0000-0500-00006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59</xdr:row>
          <xdr:rowOff>133350</xdr:rowOff>
        </xdr:from>
        <xdr:to>
          <xdr:col>3</xdr:col>
          <xdr:colOff>57150</xdr:colOff>
          <xdr:row>61</xdr:row>
          <xdr:rowOff>28575</xdr:rowOff>
        </xdr:to>
        <xdr:sp macro="" textlink="">
          <xdr:nvSpPr>
            <xdr:cNvPr id="27746" name="Check Box 98" hidden="1">
              <a:extLst>
                <a:ext uri="{63B3BB69-23CF-44E3-9099-C40C66FF867C}">
                  <a14:compatExt spid="_x0000_s27746"/>
                </a:ext>
                <a:ext uri="{FF2B5EF4-FFF2-40B4-BE49-F238E27FC236}">
                  <a16:creationId xmlns:a16="http://schemas.microsoft.com/office/drawing/2014/main" id="{00000000-0008-0000-0500-00006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59</xdr:row>
          <xdr:rowOff>133350</xdr:rowOff>
        </xdr:from>
        <xdr:to>
          <xdr:col>7</xdr:col>
          <xdr:colOff>9525</xdr:colOff>
          <xdr:row>61</xdr:row>
          <xdr:rowOff>28575</xdr:rowOff>
        </xdr:to>
        <xdr:sp macro="" textlink="">
          <xdr:nvSpPr>
            <xdr:cNvPr id="27747" name="Check Box 99" hidden="1">
              <a:extLst>
                <a:ext uri="{63B3BB69-23CF-44E3-9099-C40C66FF867C}">
                  <a14:compatExt spid="_x0000_s27747"/>
                </a:ext>
                <a:ext uri="{FF2B5EF4-FFF2-40B4-BE49-F238E27FC236}">
                  <a16:creationId xmlns:a16="http://schemas.microsoft.com/office/drawing/2014/main" id="{00000000-0008-0000-0500-00006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59</xdr:row>
          <xdr:rowOff>133350</xdr:rowOff>
        </xdr:from>
        <xdr:to>
          <xdr:col>5</xdr:col>
          <xdr:colOff>9525</xdr:colOff>
          <xdr:row>61</xdr:row>
          <xdr:rowOff>28575</xdr:rowOff>
        </xdr:to>
        <xdr:sp macro="" textlink="">
          <xdr:nvSpPr>
            <xdr:cNvPr id="27748" name="Check Box 100" hidden="1">
              <a:extLst>
                <a:ext uri="{63B3BB69-23CF-44E3-9099-C40C66FF867C}">
                  <a14:compatExt spid="_x0000_s27748"/>
                </a:ext>
                <a:ext uri="{FF2B5EF4-FFF2-40B4-BE49-F238E27FC236}">
                  <a16:creationId xmlns:a16="http://schemas.microsoft.com/office/drawing/2014/main" id="{00000000-0008-0000-0500-00006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60</xdr:row>
          <xdr:rowOff>133350</xdr:rowOff>
        </xdr:from>
        <xdr:to>
          <xdr:col>3</xdr:col>
          <xdr:colOff>57150</xdr:colOff>
          <xdr:row>62</xdr:row>
          <xdr:rowOff>28575</xdr:rowOff>
        </xdr:to>
        <xdr:sp macro="" textlink="">
          <xdr:nvSpPr>
            <xdr:cNvPr id="27749" name="Check Box 101" hidden="1">
              <a:extLst>
                <a:ext uri="{63B3BB69-23CF-44E3-9099-C40C66FF867C}">
                  <a14:compatExt spid="_x0000_s27749"/>
                </a:ext>
                <a:ext uri="{FF2B5EF4-FFF2-40B4-BE49-F238E27FC236}">
                  <a16:creationId xmlns:a16="http://schemas.microsoft.com/office/drawing/2014/main" id="{00000000-0008-0000-0500-00006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60</xdr:row>
          <xdr:rowOff>133350</xdr:rowOff>
        </xdr:from>
        <xdr:to>
          <xdr:col>7</xdr:col>
          <xdr:colOff>9525</xdr:colOff>
          <xdr:row>62</xdr:row>
          <xdr:rowOff>28575</xdr:rowOff>
        </xdr:to>
        <xdr:sp macro="" textlink="">
          <xdr:nvSpPr>
            <xdr:cNvPr id="27750" name="Check Box 102" hidden="1">
              <a:extLst>
                <a:ext uri="{63B3BB69-23CF-44E3-9099-C40C66FF867C}">
                  <a14:compatExt spid="_x0000_s27750"/>
                </a:ext>
                <a:ext uri="{FF2B5EF4-FFF2-40B4-BE49-F238E27FC236}">
                  <a16:creationId xmlns:a16="http://schemas.microsoft.com/office/drawing/2014/main" id="{00000000-0008-0000-0500-00006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60</xdr:row>
          <xdr:rowOff>133350</xdr:rowOff>
        </xdr:from>
        <xdr:to>
          <xdr:col>5</xdr:col>
          <xdr:colOff>9525</xdr:colOff>
          <xdr:row>62</xdr:row>
          <xdr:rowOff>28575</xdr:rowOff>
        </xdr:to>
        <xdr:sp macro="" textlink="">
          <xdr:nvSpPr>
            <xdr:cNvPr id="27751" name="Check Box 103" hidden="1">
              <a:extLst>
                <a:ext uri="{63B3BB69-23CF-44E3-9099-C40C66FF867C}">
                  <a14:compatExt spid="_x0000_s27751"/>
                </a:ext>
                <a:ext uri="{FF2B5EF4-FFF2-40B4-BE49-F238E27FC236}">
                  <a16:creationId xmlns:a16="http://schemas.microsoft.com/office/drawing/2014/main" id="{00000000-0008-0000-0500-00006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61</xdr:row>
          <xdr:rowOff>133350</xdr:rowOff>
        </xdr:from>
        <xdr:to>
          <xdr:col>3</xdr:col>
          <xdr:colOff>57150</xdr:colOff>
          <xdr:row>63</xdr:row>
          <xdr:rowOff>28575</xdr:rowOff>
        </xdr:to>
        <xdr:sp macro="" textlink="">
          <xdr:nvSpPr>
            <xdr:cNvPr id="27752" name="Check Box 104" hidden="1">
              <a:extLst>
                <a:ext uri="{63B3BB69-23CF-44E3-9099-C40C66FF867C}">
                  <a14:compatExt spid="_x0000_s27752"/>
                </a:ext>
                <a:ext uri="{FF2B5EF4-FFF2-40B4-BE49-F238E27FC236}">
                  <a16:creationId xmlns:a16="http://schemas.microsoft.com/office/drawing/2014/main" id="{00000000-0008-0000-0500-00006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61</xdr:row>
          <xdr:rowOff>133350</xdr:rowOff>
        </xdr:from>
        <xdr:to>
          <xdr:col>7</xdr:col>
          <xdr:colOff>9525</xdr:colOff>
          <xdr:row>63</xdr:row>
          <xdr:rowOff>28575</xdr:rowOff>
        </xdr:to>
        <xdr:sp macro="" textlink="">
          <xdr:nvSpPr>
            <xdr:cNvPr id="27753" name="Check Box 105" hidden="1">
              <a:extLst>
                <a:ext uri="{63B3BB69-23CF-44E3-9099-C40C66FF867C}">
                  <a14:compatExt spid="_x0000_s27753"/>
                </a:ext>
                <a:ext uri="{FF2B5EF4-FFF2-40B4-BE49-F238E27FC236}">
                  <a16:creationId xmlns:a16="http://schemas.microsoft.com/office/drawing/2014/main" id="{00000000-0008-0000-0500-00006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61</xdr:row>
          <xdr:rowOff>133350</xdr:rowOff>
        </xdr:from>
        <xdr:to>
          <xdr:col>5</xdr:col>
          <xdr:colOff>9525</xdr:colOff>
          <xdr:row>63</xdr:row>
          <xdr:rowOff>28575</xdr:rowOff>
        </xdr:to>
        <xdr:sp macro="" textlink="">
          <xdr:nvSpPr>
            <xdr:cNvPr id="27754" name="Check Box 106" hidden="1">
              <a:extLst>
                <a:ext uri="{63B3BB69-23CF-44E3-9099-C40C66FF867C}">
                  <a14:compatExt spid="_x0000_s27754"/>
                </a:ext>
                <a:ext uri="{FF2B5EF4-FFF2-40B4-BE49-F238E27FC236}">
                  <a16:creationId xmlns:a16="http://schemas.microsoft.com/office/drawing/2014/main" id="{00000000-0008-0000-0500-00006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62</xdr:row>
          <xdr:rowOff>133350</xdr:rowOff>
        </xdr:from>
        <xdr:to>
          <xdr:col>3</xdr:col>
          <xdr:colOff>57150</xdr:colOff>
          <xdr:row>64</xdr:row>
          <xdr:rowOff>28575</xdr:rowOff>
        </xdr:to>
        <xdr:sp macro="" textlink="">
          <xdr:nvSpPr>
            <xdr:cNvPr id="27755" name="Check Box 107" hidden="1">
              <a:extLst>
                <a:ext uri="{63B3BB69-23CF-44E3-9099-C40C66FF867C}">
                  <a14:compatExt spid="_x0000_s27755"/>
                </a:ext>
                <a:ext uri="{FF2B5EF4-FFF2-40B4-BE49-F238E27FC236}">
                  <a16:creationId xmlns:a16="http://schemas.microsoft.com/office/drawing/2014/main" id="{00000000-0008-0000-0500-00006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62</xdr:row>
          <xdr:rowOff>133350</xdr:rowOff>
        </xdr:from>
        <xdr:to>
          <xdr:col>7</xdr:col>
          <xdr:colOff>9525</xdr:colOff>
          <xdr:row>64</xdr:row>
          <xdr:rowOff>28575</xdr:rowOff>
        </xdr:to>
        <xdr:sp macro="" textlink="">
          <xdr:nvSpPr>
            <xdr:cNvPr id="27756" name="Check Box 108" hidden="1">
              <a:extLst>
                <a:ext uri="{63B3BB69-23CF-44E3-9099-C40C66FF867C}">
                  <a14:compatExt spid="_x0000_s27756"/>
                </a:ext>
                <a:ext uri="{FF2B5EF4-FFF2-40B4-BE49-F238E27FC236}">
                  <a16:creationId xmlns:a16="http://schemas.microsoft.com/office/drawing/2014/main" id="{00000000-0008-0000-0500-00006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62</xdr:row>
          <xdr:rowOff>133350</xdr:rowOff>
        </xdr:from>
        <xdr:to>
          <xdr:col>5</xdr:col>
          <xdr:colOff>9525</xdr:colOff>
          <xdr:row>64</xdr:row>
          <xdr:rowOff>28575</xdr:rowOff>
        </xdr:to>
        <xdr:sp macro="" textlink="">
          <xdr:nvSpPr>
            <xdr:cNvPr id="27757" name="Check Box 109" hidden="1">
              <a:extLst>
                <a:ext uri="{63B3BB69-23CF-44E3-9099-C40C66FF867C}">
                  <a14:compatExt spid="_x0000_s27757"/>
                </a:ext>
                <a:ext uri="{FF2B5EF4-FFF2-40B4-BE49-F238E27FC236}">
                  <a16:creationId xmlns:a16="http://schemas.microsoft.com/office/drawing/2014/main" id="{00000000-0008-0000-0500-00006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63</xdr:row>
          <xdr:rowOff>133350</xdr:rowOff>
        </xdr:from>
        <xdr:to>
          <xdr:col>3</xdr:col>
          <xdr:colOff>57150</xdr:colOff>
          <xdr:row>65</xdr:row>
          <xdr:rowOff>28575</xdr:rowOff>
        </xdr:to>
        <xdr:sp macro="" textlink="">
          <xdr:nvSpPr>
            <xdr:cNvPr id="27758" name="Check Box 110" hidden="1">
              <a:extLst>
                <a:ext uri="{63B3BB69-23CF-44E3-9099-C40C66FF867C}">
                  <a14:compatExt spid="_x0000_s27758"/>
                </a:ext>
                <a:ext uri="{FF2B5EF4-FFF2-40B4-BE49-F238E27FC236}">
                  <a16:creationId xmlns:a16="http://schemas.microsoft.com/office/drawing/2014/main" id="{00000000-0008-0000-0500-00006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63</xdr:row>
          <xdr:rowOff>133350</xdr:rowOff>
        </xdr:from>
        <xdr:to>
          <xdr:col>7</xdr:col>
          <xdr:colOff>9525</xdr:colOff>
          <xdr:row>65</xdr:row>
          <xdr:rowOff>28575</xdr:rowOff>
        </xdr:to>
        <xdr:sp macro="" textlink="">
          <xdr:nvSpPr>
            <xdr:cNvPr id="27759" name="Check Box 111" hidden="1">
              <a:extLst>
                <a:ext uri="{63B3BB69-23CF-44E3-9099-C40C66FF867C}">
                  <a14:compatExt spid="_x0000_s27759"/>
                </a:ext>
                <a:ext uri="{FF2B5EF4-FFF2-40B4-BE49-F238E27FC236}">
                  <a16:creationId xmlns:a16="http://schemas.microsoft.com/office/drawing/2014/main" id="{00000000-0008-0000-0500-00006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63</xdr:row>
          <xdr:rowOff>133350</xdr:rowOff>
        </xdr:from>
        <xdr:to>
          <xdr:col>5</xdr:col>
          <xdr:colOff>9525</xdr:colOff>
          <xdr:row>65</xdr:row>
          <xdr:rowOff>28575</xdr:rowOff>
        </xdr:to>
        <xdr:sp macro="" textlink="">
          <xdr:nvSpPr>
            <xdr:cNvPr id="27760" name="Check Box 112" hidden="1">
              <a:extLst>
                <a:ext uri="{63B3BB69-23CF-44E3-9099-C40C66FF867C}">
                  <a14:compatExt spid="_x0000_s27760"/>
                </a:ext>
                <a:ext uri="{FF2B5EF4-FFF2-40B4-BE49-F238E27FC236}">
                  <a16:creationId xmlns:a16="http://schemas.microsoft.com/office/drawing/2014/main" id="{00000000-0008-0000-0500-00007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64</xdr:row>
          <xdr:rowOff>133350</xdr:rowOff>
        </xdr:from>
        <xdr:to>
          <xdr:col>3</xdr:col>
          <xdr:colOff>57150</xdr:colOff>
          <xdr:row>66</xdr:row>
          <xdr:rowOff>28575</xdr:rowOff>
        </xdr:to>
        <xdr:sp macro="" textlink="">
          <xdr:nvSpPr>
            <xdr:cNvPr id="27761" name="Check Box 113" hidden="1">
              <a:extLst>
                <a:ext uri="{63B3BB69-23CF-44E3-9099-C40C66FF867C}">
                  <a14:compatExt spid="_x0000_s27761"/>
                </a:ext>
                <a:ext uri="{FF2B5EF4-FFF2-40B4-BE49-F238E27FC236}">
                  <a16:creationId xmlns:a16="http://schemas.microsoft.com/office/drawing/2014/main" id="{00000000-0008-0000-0500-00007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64</xdr:row>
          <xdr:rowOff>133350</xdr:rowOff>
        </xdr:from>
        <xdr:to>
          <xdr:col>7</xdr:col>
          <xdr:colOff>9525</xdr:colOff>
          <xdr:row>66</xdr:row>
          <xdr:rowOff>28575</xdr:rowOff>
        </xdr:to>
        <xdr:sp macro="" textlink="">
          <xdr:nvSpPr>
            <xdr:cNvPr id="27762" name="Check Box 114" hidden="1">
              <a:extLst>
                <a:ext uri="{63B3BB69-23CF-44E3-9099-C40C66FF867C}">
                  <a14:compatExt spid="_x0000_s27762"/>
                </a:ext>
                <a:ext uri="{FF2B5EF4-FFF2-40B4-BE49-F238E27FC236}">
                  <a16:creationId xmlns:a16="http://schemas.microsoft.com/office/drawing/2014/main" id="{00000000-0008-0000-0500-00007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64</xdr:row>
          <xdr:rowOff>133350</xdr:rowOff>
        </xdr:from>
        <xdr:to>
          <xdr:col>5</xdr:col>
          <xdr:colOff>9525</xdr:colOff>
          <xdr:row>66</xdr:row>
          <xdr:rowOff>28575</xdr:rowOff>
        </xdr:to>
        <xdr:sp macro="" textlink="">
          <xdr:nvSpPr>
            <xdr:cNvPr id="27763" name="Check Box 115" hidden="1">
              <a:extLst>
                <a:ext uri="{63B3BB69-23CF-44E3-9099-C40C66FF867C}">
                  <a14:compatExt spid="_x0000_s27763"/>
                </a:ext>
                <a:ext uri="{FF2B5EF4-FFF2-40B4-BE49-F238E27FC236}">
                  <a16:creationId xmlns:a16="http://schemas.microsoft.com/office/drawing/2014/main" id="{00000000-0008-0000-0500-00007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65</xdr:row>
          <xdr:rowOff>133350</xdr:rowOff>
        </xdr:from>
        <xdr:to>
          <xdr:col>3</xdr:col>
          <xdr:colOff>57150</xdr:colOff>
          <xdr:row>67</xdr:row>
          <xdr:rowOff>28575</xdr:rowOff>
        </xdr:to>
        <xdr:sp macro="" textlink="">
          <xdr:nvSpPr>
            <xdr:cNvPr id="27764" name="Check Box 116" hidden="1">
              <a:extLst>
                <a:ext uri="{63B3BB69-23CF-44E3-9099-C40C66FF867C}">
                  <a14:compatExt spid="_x0000_s27764"/>
                </a:ext>
                <a:ext uri="{FF2B5EF4-FFF2-40B4-BE49-F238E27FC236}">
                  <a16:creationId xmlns:a16="http://schemas.microsoft.com/office/drawing/2014/main" id="{00000000-0008-0000-0500-00007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65</xdr:row>
          <xdr:rowOff>133350</xdr:rowOff>
        </xdr:from>
        <xdr:to>
          <xdr:col>7</xdr:col>
          <xdr:colOff>9525</xdr:colOff>
          <xdr:row>67</xdr:row>
          <xdr:rowOff>28575</xdr:rowOff>
        </xdr:to>
        <xdr:sp macro="" textlink="">
          <xdr:nvSpPr>
            <xdr:cNvPr id="27765" name="Check Box 117" hidden="1">
              <a:extLst>
                <a:ext uri="{63B3BB69-23CF-44E3-9099-C40C66FF867C}">
                  <a14:compatExt spid="_x0000_s27765"/>
                </a:ext>
                <a:ext uri="{FF2B5EF4-FFF2-40B4-BE49-F238E27FC236}">
                  <a16:creationId xmlns:a16="http://schemas.microsoft.com/office/drawing/2014/main" id="{00000000-0008-0000-0500-00007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65</xdr:row>
          <xdr:rowOff>133350</xdr:rowOff>
        </xdr:from>
        <xdr:to>
          <xdr:col>5</xdr:col>
          <xdr:colOff>9525</xdr:colOff>
          <xdr:row>67</xdr:row>
          <xdr:rowOff>28575</xdr:rowOff>
        </xdr:to>
        <xdr:sp macro="" textlink="">
          <xdr:nvSpPr>
            <xdr:cNvPr id="27766" name="Check Box 118" hidden="1">
              <a:extLst>
                <a:ext uri="{63B3BB69-23CF-44E3-9099-C40C66FF867C}">
                  <a14:compatExt spid="_x0000_s27766"/>
                </a:ext>
                <a:ext uri="{FF2B5EF4-FFF2-40B4-BE49-F238E27FC236}">
                  <a16:creationId xmlns:a16="http://schemas.microsoft.com/office/drawing/2014/main" id="{00000000-0008-0000-0500-00007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52</xdr:row>
          <xdr:rowOff>142875</xdr:rowOff>
        </xdr:from>
        <xdr:to>
          <xdr:col>3</xdr:col>
          <xdr:colOff>57150</xdr:colOff>
          <xdr:row>54</xdr:row>
          <xdr:rowOff>38100</xdr:rowOff>
        </xdr:to>
        <xdr:sp macro="" textlink="">
          <xdr:nvSpPr>
            <xdr:cNvPr id="27767" name="Check Box 119" hidden="1">
              <a:extLst>
                <a:ext uri="{63B3BB69-23CF-44E3-9099-C40C66FF867C}">
                  <a14:compatExt spid="_x0000_s27767"/>
                </a:ext>
                <a:ext uri="{FF2B5EF4-FFF2-40B4-BE49-F238E27FC236}">
                  <a16:creationId xmlns:a16="http://schemas.microsoft.com/office/drawing/2014/main" id="{00000000-0008-0000-0500-00007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52</xdr:row>
          <xdr:rowOff>142875</xdr:rowOff>
        </xdr:from>
        <xdr:to>
          <xdr:col>7</xdr:col>
          <xdr:colOff>0</xdr:colOff>
          <xdr:row>54</xdr:row>
          <xdr:rowOff>38100</xdr:rowOff>
        </xdr:to>
        <xdr:sp macro="" textlink="">
          <xdr:nvSpPr>
            <xdr:cNvPr id="27768" name="Check Box 120" hidden="1">
              <a:extLst>
                <a:ext uri="{63B3BB69-23CF-44E3-9099-C40C66FF867C}">
                  <a14:compatExt spid="_x0000_s27768"/>
                </a:ext>
                <a:ext uri="{FF2B5EF4-FFF2-40B4-BE49-F238E27FC236}">
                  <a16:creationId xmlns:a16="http://schemas.microsoft.com/office/drawing/2014/main" id="{00000000-0008-0000-0500-00007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52</xdr:row>
          <xdr:rowOff>142875</xdr:rowOff>
        </xdr:from>
        <xdr:to>
          <xdr:col>5</xdr:col>
          <xdr:colOff>9525</xdr:colOff>
          <xdr:row>54</xdr:row>
          <xdr:rowOff>38100</xdr:rowOff>
        </xdr:to>
        <xdr:sp macro="" textlink="">
          <xdr:nvSpPr>
            <xdr:cNvPr id="27769" name="Check Box 121" hidden="1">
              <a:extLst>
                <a:ext uri="{63B3BB69-23CF-44E3-9099-C40C66FF867C}">
                  <a14:compatExt spid="_x0000_s27769"/>
                </a:ext>
                <a:ext uri="{FF2B5EF4-FFF2-40B4-BE49-F238E27FC236}">
                  <a16:creationId xmlns:a16="http://schemas.microsoft.com/office/drawing/2014/main" id="{00000000-0008-0000-0500-00007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46</xdr:row>
          <xdr:rowOff>133350</xdr:rowOff>
        </xdr:from>
        <xdr:to>
          <xdr:col>3</xdr:col>
          <xdr:colOff>57150</xdr:colOff>
          <xdr:row>48</xdr:row>
          <xdr:rowOff>28575</xdr:rowOff>
        </xdr:to>
        <xdr:sp macro="" textlink="">
          <xdr:nvSpPr>
            <xdr:cNvPr id="27770" name="Check Box 122" hidden="1">
              <a:extLst>
                <a:ext uri="{63B3BB69-23CF-44E3-9099-C40C66FF867C}">
                  <a14:compatExt spid="_x0000_s27770"/>
                </a:ext>
                <a:ext uri="{FF2B5EF4-FFF2-40B4-BE49-F238E27FC236}">
                  <a16:creationId xmlns:a16="http://schemas.microsoft.com/office/drawing/2014/main" id="{00000000-0008-0000-0500-00007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46</xdr:row>
          <xdr:rowOff>133350</xdr:rowOff>
        </xdr:from>
        <xdr:to>
          <xdr:col>7</xdr:col>
          <xdr:colOff>0</xdr:colOff>
          <xdr:row>48</xdr:row>
          <xdr:rowOff>28575</xdr:rowOff>
        </xdr:to>
        <xdr:sp macro="" textlink="">
          <xdr:nvSpPr>
            <xdr:cNvPr id="27771" name="Check Box 123" hidden="1">
              <a:extLst>
                <a:ext uri="{63B3BB69-23CF-44E3-9099-C40C66FF867C}">
                  <a14:compatExt spid="_x0000_s27771"/>
                </a:ext>
                <a:ext uri="{FF2B5EF4-FFF2-40B4-BE49-F238E27FC236}">
                  <a16:creationId xmlns:a16="http://schemas.microsoft.com/office/drawing/2014/main" id="{00000000-0008-0000-0500-00007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46</xdr:row>
          <xdr:rowOff>133350</xdr:rowOff>
        </xdr:from>
        <xdr:to>
          <xdr:col>5</xdr:col>
          <xdr:colOff>9525</xdr:colOff>
          <xdr:row>48</xdr:row>
          <xdr:rowOff>28575</xdr:rowOff>
        </xdr:to>
        <xdr:sp macro="" textlink="">
          <xdr:nvSpPr>
            <xdr:cNvPr id="27772" name="Check Box 124" hidden="1">
              <a:extLst>
                <a:ext uri="{63B3BB69-23CF-44E3-9099-C40C66FF867C}">
                  <a14:compatExt spid="_x0000_s27772"/>
                </a:ext>
                <a:ext uri="{FF2B5EF4-FFF2-40B4-BE49-F238E27FC236}">
                  <a16:creationId xmlns:a16="http://schemas.microsoft.com/office/drawing/2014/main" id="{00000000-0008-0000-0500-00007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50</xdr:row>
          <xdr:rowOff>133350</xdr:rowOff>
        </xdr:from>
        <xdr:to>
          <xdr:col>3</xdr:col>
          <xdr:colOff>57150</xdr:colOff>
          <xdr:row>52</xdr:row>
          <xdr:rowOff>28575</xdr:rowOff>
        </xdr:to>
        <xdr:sp macro="" textlink="">
          <xdr:nvSpPr>
            <xdr:cNvPr id="27773" name="Check Box 125" hidden="1">
              <a:extLst>
                <a:ext uri="{63B3BB69-23CF-44E3-9099-C40C66FF867C}">
                  <a14:compatExt spid="_x0000_s27773"/>
                </a:ext>
                <a:ext uri="{FF2B5EF4-FFF2-40B4-BE49-F238E27FC236}">
                  <a16:creationId xmlns:a16="http://schemas.microsoft.com/office/drawing/2014/main" id="{00000000-0008-0000-0500-00007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50</xdr:row>
          <xdr:rowOff>133350</xdr:rowOff>
        </xdr:from>
        <xdr:to>
          <xdr:col>7</xdr:col>
          <xdr:colOff>9525</xdr:colOff>
          <xdr:row>52</xdr:row>
          <xdr:rowOff>28575</xdr:rowOff>
        </xdr:to>
        <xdr:sp macro="" textlink="">
          <xdr:nvSpPr>
            <xdr:cNvPr id="27774" name="Check Box 126" hidden="1">
              <a:extLst>
                <a:ext uri="{63B3BB69-23CF-44E3-9099-C40C66FF867C}">
                  <a14:compatExt spid="_x0000_s27774"/>
                </a:ext>
                <a:ext uri="{FF2B5EF4-FFF2-40B4-BE49-F238E27FC236}">
                  <a16:creationId xmlns:a16="http://schemas.microsoft.com/office/drawing/2014/main" id="{00000000-0008-0000-0500-00007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50</xdr:row>
          <xdr:rowOff>133350</xdr:rowOff>
        </xdr:from>
        <xdr:to>
          <xdr:col>5</xdr:col>
          <xdr:colOff>9525</xdr:colOff>
          <xdr:row>52</xdr:row>
          <xdr:rowOff>28575</xdr:rowOff>
        </xdr:to>
        <xdr:sp macro="" textlink="">
          <xdr:nvSpPr>
            <xdr:cNvPr id="27775" name="Check Box 127" hidden="1">
              <a:extLst>
                <a:ext uri="{63B3BB69-23CF-44E3-9099-C40C66FF867C}">
                  <a14:compatExt spid="_x0000_s27775"/>
                </a:ext>
                <a:ext uri="{FF2B5EF4-FFF2-40B4-BE49-F238E27FC236}">
                  <a16:creationId xmlns:a16="http://schemas.microsoft.com/office/drawing/2014/main" id="{00000000-0008-0000-0500-00007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51</xdr:row>
          <xdr:rowOff>133350</xdr:rowOff>
        </xdr:from>
        <xdr:to>
          <xdr:col>3</xdr:col>
          <xdr:colOff>57150</xdr:colOff>
          <xdr:row>53</xdr:row>
          <xdr:rowOff>28575</xdr:rowOff>
        </xdr:to>
        <xdr:sp macro="" textlink="">
          <xdr:nvSpPr>
            <xdr:cNvPr id="27776" name="Check Box 128" hidden="1">
              <a:extLst>
                <a:ext uri="{63B3BB69-23CF-44E3-9099-C40C66FF867C}">
                  <a14:compatExt spid="_x0000_s27776"/>
                </a:ext>
                <a:ext uri="{FF2B5EF4-FFF2-40B4-BE49-F238E27FC236}">
                  <a16:creationId xmlns:a16="http://schemas.microsoft.com/office/drawing/2014/main" id="{00000000-0008-0000-0500-00008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51</xdr:row>
          <xdr:rowOff>133350</xdr:rowOff>
        </xdr:from>
        <xdr:to>
          <xdr:col>7</xdr:col>
          <xdr:colOff>9525</xdr:colOff>
          <xdr:row>53</xdr:row>
          <xdr:rowOff>28575</xdr:rowOff>
        </xdr:to>
        <xdr:sp macro="" textlink="">
          <xdr:nvSpPr>
            <xdr:cNvPr id="27777" name="Check Box 129" hidden="1">
              <a:extLst>
                <a:ext uri="{63B3BB69-23CF-44E3-9099-C40C66FF867C}">
                  <a14:compatExt spid="_x0000_s27777"/>
                </a:ext>
                <a:ext uri="{FF2B5EF4-FFF2-40B4-BE49-F238E27FC236}">
                  <a16:creationId xmlns:a16="http://schemas.microsoft.com/office/drawing/2014/main" id="{00000000-0008-0000-0500-00008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51</xdr:row>
          <xdr:rowOff>133350</xdr:rowOff>
        </xdr:from>
        <xdr:to>
          <xdr:col>5</xdr:col>
          <xdr:colOff>9525</xdr:colOff>
          <xdr:row>53</xdr:row>
          <xdr:rowOff>28575</xdr:rowOff>
        </xdr:to>
        <xdr:sp macro="" textlink="">
          <xdr:nvSpPr>
            <xdr:cNvPr id="27778" name="Check Box 130" hidden="1">
              <a:extLst>
                <a:ext uri="{63B3BB69-23CF-44E3-9099-C40C66FF867C}">
                  <a14:compatExt spid="_x0000_s27778"/>
                </a:ext>
                <a:ext uri="{FF2B5EF4-FFF2-40B4-BE49-F238E27FC236}">
                  <a16:creationId xmlns:a16="http://schemas.microsoft.com/office/drawing/2014/main" id="{00000000-0008-0000-0500-00008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68</xdr:row>
          <xdr:rowOff>133350</xdr:rowOff>
        </xdr:from>
        <xdr:to>
          <xdr:col>3</xdr:col>
          <xdr:colOff>57150</xdr:colOff>
          <xdr:row>70</xdr:row>
          <xdr:rowOff>38100</xdr:rowOff>
        </xdr:to>
        <xdr:sp macro="" textlink="">
          <xdr:nvSpPr>
            <xdr:cNvPr id="27779" name="Check Box 131" hidden="1">
              <a:extLst>
                <a:ext uri="{63B3BB69-23CF-44E3-9099-C40C66FF867C}">
                  <a14:compatExt spid="_x0000_s27779"/>
                </a:ext>
                <a:ext uri="{FF2B5EF4-FFF2-40B4-BE49-F238E27FC236}">
                  <a16:creationId xmlns:a16="http://schemas.microsoft.com/office/drawing/2014/main" id="{00000000-0008-0000-0500-00008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68</xdr:row>
          <xdr:rowOff>133350</xdr:rowOff>
        </xdr:from>
        <xdr:to>
          <xdr:col>7</xdr:col>
          <xdr:colOff>9525</xdr:colOff>
          <xdr:row>70</xdr:row>
          <xdr:rowOff>38100</xdr:rowOff>
        </xdr:to>
        <xdr:sp macro="" textlink="">
          <xdr:nvSpPr>
            <xdr:cNvPr id="27780" name="Check Box 132" hidden="1">
              <a:extLst>
                <a:ext uri="{63B3BB69-23CF-44E3-9099-C40C66FF867C}">
                  <a14:compatExt spid="_x0000_s27780"/>
                </a:ext>
                <a:ext uri="{FF2B5EF4-FFF2-40B4-BE49-F238E27FC236}">
                  <a16:creationId xmlns:a16="http://schemas.microsoft.com/office/drawing/2014/main" id="{00000000-0008-0000-0500-00008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68</xdr:row>
          <xdr:rowOff>133350</xdr:rowOff>
        </xdr:from>
        <xdr:to>
          <xdr:col>5</xdr:col>
          <xdr:colOff>9525</xdr:colOff>
          <xdr:row>70</xdr:row>
          <xdr:rowOff>38100</xdr:rowOff>
        </xdr:to>
        <xdr:sp macro="" textlink="">
          <xdr:nvSpPr>
            <xdr:cNvPr id="27781" name="Check Box 133" hidden="1">
              <a:extLst>
                <a:ext uri="{63B3BB69-23CF-44E3-9099-C40C66FF867C}">
                  <a14:compatExt spid="_x0000_s27781"/>
                </a:ext>
                <a:ext uri="{FF2B5EF4-FFF2-40B4-BE49-F238E27FC236}">
                  <a16:creationId xmlns:a16="http://schemas.microsoft.com/office/drawing/2014/main" id="{00000000-0008-0000-0500-00008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69</xdr:row>
          <xdr:rowOff>133350</xdr:rowOff>
        </xdr:from>
        <xdr:to>
          <xdr:col>3</xdr:col>
          <xdr:colOff>57150</xdr:colOff>
          <xdr:row>71</xdr:row>
          <xdr:rowOff>38100</xdr:rowOff>
        </xdr:to>
        <xdr:sp macro="" textlink="">
          <xdr:nvSpPr>
            <xdr:cNvPr id="27782" name="Check Box 134" hidden="1">
              <a:extLst>
                <a:ext uri="{63B3BB69-23CF-44E3-9099-C40C66FF867C}">
                  <a14:compatExt spid="_x0000_s27782"/>
                </a:ext>
                <a:ext uri="{FF2B5EF4-FFF2-40B4-BE49-F238E27FC236}">
                  <a16:creationId xmlns:a16="http://schemas.microsoft.com/office/drawing/2014/main" id="{00000000-0008-0000-0500-00008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69</xdr:row>
          <xdr:rowOff>133350</xdr:rowOff>
        </xdr:from>
        <xdr:to>
          <xdr:col>7</xdr:col>
          <xdr:colOff>9525</xdr:colOff>
          <xdr:row>71</xdr:row>
          <xdr:rowOff>38100</xdr:rowOff>
        </xdr:to>
        <xdr:sp macro="" textlink="">
          <xdr:nvSpPr>
            <xdr:cNvPr id="27783" name="Check Box 135" hidden="1">
              <a:extLst>
                <a:ext uri="{63B3BB69-23CF-44E3-9099-C40C66FF867C}">
                  <a14:compatExt spid="_x0000_s27783"/>
                </a:ext>
                <a:ext uri="{FF2B5EF4-FFF2-40B4-BE49-F238E27FC236}">
                  <a16:creationId xmlns:a16="http://schemas.microsoft.com/office/drawing/2014/main" id="{00000000-0008-0000-0500-00008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69</xdr:row>
          <xdr:rowOff>133350</xdr:rowOff>
        </xdr:from>
        <xdr:to>
          <xdr:col>5</xdr:col>
          <xdr:colOff>9525</xdr:colOff>
          <xdr:row>71</xdr:row>
          <xdr:rowOff>38100</xdr:rowOff>
        </xdr:to>
        <xdr:sp macro="" textlink="">
          <xdr:nvSpPr>
            <xdr:cNvPr id="27784" name="Check Box 136" hidden="1">
              <a:extLst>
                <a:ext uri="{63B3BB69-23CF-44E3-9099-C40C66FF867C}">
                  <a14:compatExt spid="_x0000_s27784"/>
                </a:ext>
                <a:ext uri="{FF2B5EF4-FFF2-40B4-BE49-F238E27FC236}">
                  <a16:creationId xmlns:a16="http://schemas.microsoft.com/office/drawing/2014/main" id="{00000000-0008-0000-0500-00008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70</xdr:row>
          <xdr:rowOff>133350</xdr:rowOff>
        </xdr:from>
        <xdr:to>
          <xdr:col>3</xdr:col>
          <xdr:colOff>57150</xdr:colOff>
          <xdr:row>72</xdr:row>
          <xdr:rowOff>38100</xdr:rowOff>
        </xdr:to>
        <xdr:sp macro="" textlink="">
          <xdr:nvSpPr>
            <xdr:cNvPr id="27785" name="Check Box 137" hidden="1">
              <a:extLst>
                <a:ext uri="{63B3BB69-23CF-44E3-9099-C40C66FF867C}">
                  <a14:compatExt spid="_x0000_s27785"/>
                </a:ext>
                <a:ext uri="{FF2B5EF4-FFF2-40B4-BE49-F238E27FC236}">
                  <a16:creationId xmlns:a16="http://schemas.microsoft.com/office/drawing/2014/main" id="{00000000-0008-0000-0500-00008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70</xdr:row>
          <xdr:rowOff>133350</xdr:rowOff>
        </xdr:from>
        <xdr:to>
          <xdr:col>7</xdr:col>
          <xdr:colOff>9525</xdr:colOff>
          <xdr:row>72</xdr:row>
          <xdr:rowOff>38100</xdr:rowOff>
        </xdr:to>
        <xdr:sp macro="" textlink="">
          <xdr:nvSpPr>
            <xdr:cNvPr id="27786" name="Check Box 138" hidden="1">
              <a:extLst>
                <a:ext uri="{63B3BB69-23CF-44E3-9099-C40C66FF867C}">
                  <a14:compatExt spid="_x0000_s27786"/>
                </a:ext>
                <a:ext uri="{FF2B5EF4-FFF2-40B4-BE49-F238E27FC236}">
                  <a16:creationId xmlns:a16="http://schemas.microsoft.com/office/drawing/2014/main" id="{00000000-0008-0000-0500-00008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70</xdr:row>
          <xdr:rowOff>133350</xdr:rowOff>
        </xdr:from>
        <xdr:to>
          <xdr:col>5</xdr:col>
          <xdr:colOff>9525</xdr:colOff>
          <xdr:row>72</xdr:row>
          <xdr:rowOff>38100</xdr:rowOff>
        </xdr:to>
        <xdr:sp macro="" textlink="">
          <xdr:nvSpPr>
            <xdr:cNvPr id="27787" name="Check Box 139" hidden="1">
              <a:extLst>
                <a:ext uri="{63B3BB69-23CF-44E3-9099-C40C66FF867C}">
                  <a14:compatExt spid="_x0000_s27787"/>
                </a:ext>
                <a:ext uri="{FF2B5EF4-FFF2-40B4-BE49-F238E27FC236}">
                  <a16:creationId xmlns:a16="http://schemas.microsoft.com/office/drawing/2014/main" id="{00000000-0008-0000-0500-00008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68</xdr:row>
          <xdr:rowOff>133350</xdr:rowOff>
        </xdr:from>
        <xdr:to>
          <xdr:col>7</xdr:col>
          <xdr:colOff>9525</xdr:colOff>
          <xdr:row>70</xdr:row>
          <xdr:rowOff>38100</xdr:rowOff>
        </xdr:to>
        <xdr:sp macro="" textlink="">
          <xdr:nvSpPr>
            <xdr:cNvPr id="27788" name="Check Box 140" hidden="1">
              <a:extLst>
                <a:ext uri="{63B3BB69-23CF-44E3-9099-C40C66FF867C}">
                  <a14:compatExt spid="_x0000_s27788"/>
                </a:ext>
                <a:ext uri="{FF2B5EF4-FFF2-40B4-BE49-F238E27FC236}">
                  <a16:creationId xmlns:a16="http://schemas.microsoft.com/office/drawing/2014/main" id="{00000000-0008-0000-0500-00008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69</xdr:row>
          <xdr:rowOff>133350</xdr:rowOff>
        </xdr:from>
        <xdr:to>
          <xdr:col>7</xdr:col>
          <xdr:colOff>9525</xdr:colOff>
          <xdr:row>71</xdr:row>
          <xdr:rowOff>38100</xdr:rowOff>
        </xdr:to>
        <xdr:sp macro="" textlink="">
          <xdr:nvSpPr>
            <xdr:cNvPr id="27789" name="Check Box 141" hidden="1">
              <a:extLst>
                <a:ext uri="{63B3BB69-23CF-44E3-9099-C40C66FF867C}">
                  <a14:compatExt spid="_x0000_s27789"/>
                </a:ext>
                <a:ext uri="{FF2B5EF4-FFF2-40B4-BE49-F238E27FC236}">
                  <a16:creationId xmlns:a16="http://schemas.microsoft.com/office/drawing/2014/main" id="{00000000-0008-0000-0500-00008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1028700</xdr:colOff>
          <xdr:row>70</xdr:row>
          <xdr:rowOff>133350</xdr:rowOff>
        </xdr:from>
        <xdr:to>
          <xdr:col>7</xdr:col>
          <xdr:colOff>9525</xdr:colOff>
          <xdr:row>72</xdr:row>
          <xdr:rowOff>38100</xdr:rowOff>
        </xdr:to>
        <xdr:sp macro="" textlink="">
          <xdr:nvSpPr>
            <xdr:cNvPr id="27790" name="Check Box 142" hidden="1">
              <a:extLst>
                <a:ext uri="{63B3BB69-23CF-44E3-9099-C40C66FF867C}">
                  <a14:compatExt spid="_x0000_s27790"/>
                </a:ext>
                <a:ext uri="{FF2B5EF4-FFF2-40B4-BE49-F238E27FC236}">
                  <a16:creationId xmlns:a16="http://schemas.microsoft.com/office/drawing/2014/main" id="{00000000-0008-0000-0500-00008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25</xdr:row>
      <xdr:rowOff>123824</xdr:rowOff>
    </xdr:from>
    <xdr:to>
      <xdr:col>4</xdr:col>
      <xdr:colOff>267060</xdr:colOff>
      <xdr:row>41</xdr:row>
      <xdr:rowOff>146684</xdr:rowOff>
    </xdr:to>
    <xdr:pic>
      <xdr:nvPicPr>
        <xdr:cNvPr id="2" name="Afbeelding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rot="10800000">
          <a:off x="0" y="5772149"/>
          <a:ext cx="2476860" cy="2613660"/>
        </a:xfrm>
        <a:prstGeom prst="rect">
          <a:avLst/>
        </a:prstGeom>
        <a:noFill/>
        <a:ln>
          <a:noFill/>
        </a:ln>
      </xdr:spPr>
    </xdr:pic>
    <xdr:clientData/>
  </xdr:twoCellAnchor>
  <xdr:twoCellAnchor>
    <xdr:from>
      <xdr:col>0</xdr:col>
      <xdr:colOff>0</xdr:colOff>
      <xdr:row>72</xdr:row>
      <xdr:rowOff>0</xdr:rowOff>
    </xdr:from>
    <xdr:to>
      <xdr:col>8</xdr:col>
      <xdr:colOff>925285</xdr:colOff>
      <xdr:row>74</xdr:row>
      <xdr:rowOff>0</xdr:rowOff>
    </xdr:to>
    <xdr:grpSp>
      <xdr:nvGrpSpPr>
        <xdr:cNvPr id="11" name="Groep 10">
          <a:extLst>
            <a:ext uri="{FF2B5EF4-FFF2-40B4-BE49-F238E27FC236}">
              <a16:creationId xmlns:a16="http://schemas.microsoft.com/office/drawing/2014/main" id="{00000000-0008-0000-0700-00000B000000}"/>
            </a:ext>
          </a:extLst>
        </xdr:cNvPr>
        <xdr:cNvGrpSpPr/>
      </xdr:nvGrpSpPr>
      <xdr:grpSpPr>
        <a:xfrm>
          <a:off x="0" y="14884977"/>
          <a:ext cx="5800353" cy="2467841"/>
          <a:chOff x="1" y="3584664"/>
          <a:chExt cx="5762463" cy="2476500"/>
        </a:xfrm>
      </xdr:grpSpPr>
      <xdr:graphicFrame macro="">
        <xdr:nvGraphicFramePr>
          <xdr:cNvPr id="12" name="Grafiek 11">
            <a:extLst>
              <a:ext uri="{FF2B5EF4-FFF2-40B4-BE49-F238E27FC236}">
                <a16:creationId xmlns:a16="http://schemas.microsoft.com/office/drawing/2014/main" id="{00000000-0008-0000-0700-00000C000000}"/>
              </a:ext>
            </a:extLst>
          </xdr:cNvPr>
          <xdr:cNvGraphicFramePr/>
        </xdr:nvGraphicFramePr>
        <xdr:xfrm>
          <a:off x="1" y="3584664"/>
          <a:ext cx="2401320" cy="24765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3" name="Grafiek 12">
            <a:extLst>
              <a:ext uri="{FF2B5EF4-FFF2-40B4-BE49-F238E27FC236}">
                <a16:creationId xmlns:a16="http://schemas.microsoft.com/office/drawing/2014/main" id="{00000000-0008-0000-0700-00000D000000}"/>
              </a:ext>
            </a:extLst>
          </xdr:cNvPr>
          <xdr:cNvGraphicFramePr/>
        </xdr:nvGraphicFramePr>
        <xdr:xfrm>
          <a:off x="3898035" y="3605941"/>
          <a:ext cx="1864429" cy="207764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fiek 13">
            <a:extLst>
              <a:ext uri="{FF2B5EF4-FFF2-40B4-BE49-F238E27FC236}">
                <a16:creationId xmlns:a16="http://schemas.microsoft.com/office/drawing/2014/main" id="{00000000-0008-0000-0700-00000E000000}"/>
              </a:ext>
            </a:extLst>
          </xdr:cNvPr>
          <xdr:cNvGraphicFramePr/>
        </xdr:nvGraphicFramePr>
        <xdr:xfrm>
          <a:off x="2213887" y="3589517"/>
          <a:ext cx="1741995" cy="2090788"/>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141647</xdr:colOff>
      <xdr:row>13</xdr:row>
      <xdr:rowOff>115074</xdr:rowOff>
    </xdr:to>
    <xdr:pic>
      <xdr:nvPicPr>
        <xdr:cNvPr id="3" name="Afbeelding 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rot="16200000">
          <a:off x="46624" y="-46624"/>
          <a:ext cx="2486799" cy="2580047"/>
        </a:xfrm>
        <a:prstGeom prst="rect">
          <a:avLst/>
        </a:prstGeom>
        <a:noFill/>
        <a:ln>
          <a:noFill/>
        </a:ln>
      </xdr:spPr>
    </xdr:pic>
    <xdr:clientData/>
  </xdr:twoCellAnchor>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25.xml"/><Relationship Id="rId18" Type="http://schemas.openxmlformats.org/officeDocument/2006/relationships/ctrlProp" Target="../ctrlProps/ctrlProp30.xml"/><Relationship Id="rId26" Type="http://schemas.openxmlformats.org/officeDocument/2006/relationships/ctrlProp" Target="../ctrlProps/ctrlProp38.xml"/><Relationship Id="rId39" Type="http://schemas.openxmlformats.org/officeDocument/2006/relationships/ctrlProp" Target="../ctrlProps/ctrlProp51.xml"/><Relationship Id="rId21" Type="http://schemas.openxmlformats.org/officeDocument/2006/relationships/ctrlProp" Target="../ctrlProps/ctrlProp33.xml"/><Relationship Id="rId34" Type="http://schemas.openxmlformats.org/officeDocument/2006/relationships/ctrlProp" Target="../ctrlProps/ctrlProp46.xml"/><Relationship Id="rId42" Type="http://schemas.openxmlformats.org/officeDocument/2006/relationships/ctrlProp" Target="../ctrlProps/ctrlProp54.xml"/><Relationship Id="rId47" Type="http://schemas.openxmlformats.org/officeDocument/2006/relationships/ctrlProp" Target="../ctrlProps/ctrlProp59.xml"/><Relationship Id="rId50" Type="http://schemas.openxmlformats.org/officeDocument/2006/relationships/ctrlProp" Target="../ctrlProps/ctrlProp62.xml"/><Relationship Id="rId55" Type="http://schemas.openxmlformats.org/officeDocument/2006/relationships/ctrlProp" Target="../ctrlProps/ctrlProp67.xml"/><Relationship Id="rId63" Type="http://schemas.openxmlformats.org/officeDocument/2006/relationships/ctrlProp" Target="../ctrlProps/ctrlProp75.xml"/><Relationship Id="rId7" Type="http://schemas.openxmlformats.org/officeDocument/2006/relationships/ctrlProp" Target="../ctrlProps/ctrlProp19.xml"/><Relationship Id="rId2" Type="http://schemas.openxmlformats.org/officeDocument/2006/relationships/vmlDrawing" Target="../drawings/vmlDrawing3.vml"/><Relationship Id="rId16" Type="http://schemas.openxmlformats.org/officeDocument/2006/relationships/ctrlProp" Target="../ctrlProps/ctrlProp28.xml"/><Relationship Id="rId29" Type="http://schemas.openxmlformats.org/officeDocument/2006/relationships/ctrlProp" Target="../ctrlProps/ctrlProp41.xml"/><Relationship Id="rId1" Type="http://schemas.openxmlformats.org/officeDocument/2006/relationships/drawing" Target="../drawings/drawing3.xml"/><Relationship Id="rId6" Type="http://schemas.openxmlformats.org/officeDocument/2006/relationships/ctrlProp" Target="../ctrlProps/ctrlProp18.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ctrlProp" Target="../ctrlProps/ctrlProp57.xml"/><Relationship Id="rId53" Type="http://schemas.openxmlformats.org/officeDocument/2006/relationships/ctrlProp" Target="../ctrlProps/ctrlProp65.xml"/><Relationship Id="rId58" Type="http://schemas.openxmlformats.org/officeDocument/2006/relationships/ctrlProp" Target="../ctrlProps/ctrlProp70.xml"/><Relationship Id="rId66" Type="http://schemas.openxmlformats.org/officeDocument/2006/relationships/ctrlProp" Target="../ctrlProps/ctrlProp78.xml"/><Relationship Id="rId5" Type="http://schemas.openxmlformats.org/officeDocument/2006/relationships/ctrlProp" Target="../ctrlProps/ctrlProp17.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61" Type="http://schemas.openxmlformats.org/officeDocument/2006/relationships/ctrlProp" Target="../ctrlProps/ctrlProp73.xml"/><Relationship Id="rId10" Type="http://schemas.openxmlformats.org/officeDocument/2006/relationships/ctrlProp" Target="../ctrlProps/ctrlProp22.xml"/><Relationship Id="rId19" Type="http://schemas.openxmlformats.org/officeDocument/2006/relationships/ctrlProp" Target="../ctrlProps/ctrlProp31.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48" Type="http://schemas.openxmlformats.org/officeDocument/2006/relationships/ctrlProp" Target="../ctrlProps/ctrlProp60.xml"/><Relationship Id="rId56" Type="http://schemas.openxmlformats.org/officeDocument/2006/relationships/ctrlProp" Target="../ctrlProps/ctrlProp68.xml"/><Relationship Id="rId64" Type="http://schemas.openxmlformats.org/officeDocument/2006/relationships/ctrlProp" Target="../ctrlProps/ctrlProp76.xml"/><Relationship Id="rId8" Type="http://schemas.openxmlformats.org/officeDocument/2006/relationships/ctrlProp" Target="../ctrlProps/ctrlProp20.xml"/><Relationship Id="rId51" Type="http://schemas.openxmlformats.org/officeDocument/2006/relationships/ctrlProp" Target="../ctrlProps/ctrlProp63.xml"/><Relationship Id="rId3" Type="http://schemas.openxmlformats.org/officeDocument/2006/relationships/ctrlProp" Target="../ctrlProps/ctrlProp15.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03.xml"/><Relationship Id="rId117" Type="http://schemas.openxmlformats.org/officeDocument/2006/relationships/ctrlProp" Target="../ctrlProps/ctrlProp194.xml"/><Relationship Id="rId21" Type="http://schemas.openxmlformats.org/officeDocument/2006/relationships/ctrlProp" Target="../ctrlProps/ctrlProp98.xml"/><Relationship Id="rId42" Type="http://schemas.openxmlformats.org/officeDocument/2006/relationships/ctrlProp" Target="../ctrlProps/ctrlProp119.xml"/><Relationship Id="rId47" Type="http://schemas.openxmlformats.org/officeDocument/2006/relationships/ctrlProp" Target="../ctrlProps/ctrlProp124.xml"/><Relationship Id="rId63" Type="http://schemas.openxmlformats.org/officeDocument/2006/relationships/ctrlProp" Target="../ctrlProps/ctrlProp140.xml"/><Relationship Id="rId68" Type="http://schemas.openxmlformats.org/officeDocument/2006/relationships/ctrlProp" Target="../ctrlProps/ctrlProp145.xml"/><Relationship Id="rId84" Type="http://schemas.openxmlformats.org/officeDocument/2006/relationships/ctrlProp" Target="../ctrlProps/ctrlProp161.xml"/><Relationship Id="rId89" Type="http://schemas.openxmlformats.org/officeDocument/2006/relationships/ctrlProp" Target="../ctrlProps/ctrlProp166.xml"/><Relationship Id="rId112" Type="http://schemas.openxmlformats.org/officeDocument/2006/relationships/ctrlProp" Target="../ctrlProps/ctrlProp189.xml"/><Relationship Id="rId133" Type="http://schemas.openxmlformats.org/officeDocument/2006/relationships/ctrlProp" Target="../ctrlProps/ctrlProp210.xml"/><Relationship Id="rId138" Type="http://schemas.openxmlformats.org/officeDocument/2006/relationships/ctrlProp" Target="../ctrlProps/ctrlProp215.xml"/><Relationship Id="rId16" Type="http://schemas.openxmlformats.org/officeDocument/2006/relationships/ctrlProp" Target="../ctrlProps/ctrlProp93.xml"/><Relationship Id="rId107" Type="http://schemas.openxmlformats.org/officeDocument/2006/relationships/ctrlProp" Target="../ctrlProps/ctrlProp184.xml"/><Relationship Id="rId11" Type="http://schemas.openxmlformats.org/officeDocument/2006/relationships/ctrlProp" Target="../ctrlProps/ctrlProp88.xml"/><Relationship Id="rId32" Type="http://schemas.openxmlformats.org/officeDocument/2006/relationships/ctrlProp" Target="../ctrlProps/ctrlProp109.xml"/><Relationship Id="rId37" Type="http://schemas.openxmlformats.org/officeDocument/2006/relationships/ctrlProp" Target="../ctrlProps/ctrlProp114.xml"/><Relationship Id="rId53" Type="http://schemas.openxmlformats.org/officeDocument/2006/relationships/ctrlProp" Target="../ctrlProps/ctrlProp130.xml"/><Relationship Id="rId58" Type="http://schemas.openxmlformats.org/officeDocument/2006/relationships/ctrlProp" Target="../ctrlProps/ctrlProp135.xml"/><Relationship Id="rId74" Type="http://schemas.openxmlformats.org/officeDocument/2006/relationships/ctrlProp" Target="../ctrlProps/ctrlProp151.xml"/><Relationship Id="rId79" Type="http://schemas.openxmlformats.org/officeDocument/2006/relationships/ctrlProp" Target="../ctrlProps/ctrlProp156.xml"/><Relationship Id="rId102" Type="http://schemas.openxmlformats.org/officeDocument/2006/relationships/ctrlProp" Target="../ctrlProps/ctrlProp179.xml"/><Relationship Id="rId123" Type="http://schemas.openxmlformats.org/officeDocument/2006/relationships/ctrlProp" Target="../ctrlProps/ctrlProp200.xml"/><Relationship Id="rId128" Type="http://schemas.openxmlformats.org/officeDocument/2006/relationships/ctrlProp" Target="../ctrlProps/ctrlProp205.xml"/><Relationship Id="rId5" Type="http://schemas.openxmlformats.org/officeDocument/2006/relationships/ctrlProp" Target="../ctrlProps/ctrlProp82.xml"/><Relationship Id="rId90" Type="http://schemas.openxmlformats.org/officeDocument/2006/relationships/ctrlProp" Target="../ctrlProps/ctrlProp167.xml"/><Relationship Id="rId95" Type="http://schemas.openxmlformats.org/officeDocument/2006/relationships/ctrlProp" Target="../ctrlProps/ctrlProp172.xml"/><Relationship Id="rId22" Type="http://schemas.openxmlformats.org/officeDocument/2006/relationships/ctrlProp" Target="../ctrlProps/ctrlProp99.xml"/><Relationship Id="rId27" Type="http://schemas.openxmlformats.org/officeDocument/2006/relationships/ctrlProp" Target="../ctrlProps/ctrlProp104.xml"/><Relationship Id="rId43" Type="http://schemas.openxmlformats.org/officeDocument/2006/relationships/ctrlProp" Target="../ctrlProps/ctrlProp120.xml"/><Relationship Id="rId48" Type="http://schemas.openxmlformats.org/officeDocument/2006/relationships/ctrlProp" Target="../ctrlProps/ctrlProp125.xml"/><Relationship Id="rId64" Type="http://schemas.openxmlformats.org/officeDocument/2006/relationships/ctrlProp" Target="../ctrlProps/ctrlProp141.xml"/><Relationship Id="rId69" Type="http://schemas.openxmlformats.org/officeDocument/2006/relationships/ctrlProp" Target="../ctrlProps/ctrlProp146.xml"/><Relationship Id="rId113" Type="http://schemas.openxmlformats.org/officeDocument/2006/relationships/ctrlProp" Target="../ctrlProps/ctrlProp190.xml"/><Relationship Id="rId118" Type="http://schemas.openxmlformats.org/officeDocument/2006/relationships/ctrlProp" Target="../ctrlProps/ctrlProp195.xml"/><Relationship Id="rId134" Type="http://schemas.openxmlformats.org/officeDocument/2006/relationships/ctrlProp" Target="../ctrlProps/ctrlProp211.xml"/><Relationship Id="rId139" Type="http://schemas.openxmlformats.org/officeDocument/2006/relationships/ctrlProp" Target="../ctrlProps/ctrlProp216.xml"/><Relationship Id="rId8" Type="http://schemas.openxmlformats.org/officeDocument/2006/relationships/ctrlProp" Target="../ctrlProps/ctrlProp85.xml"/><Relationship Id="rId51" Type="http://schemas.openxmlformats.org/officeDocument/2006/relationships/ctrlProp" Target="../ctrlProps/ctrlProp128.xml"/><Relationship Id="rId72" Type="http://schemas.openxmlformats.org/officeDocument/2006/relationships/ctrlProp" Target="../ctrlProps/ctrlProp149.xml"/><Relationship Id="rId80" Type="http://schemas.openxmlformats.org/officeDocument/2006/relationships/ctrlProp" Target="../ctrlProps/ctrlProp157.xml"/><Relationship Id="rId85" Type="http://schemas.openxmlformats.org/officeDocument/2006/relationships/ctrlProp" Target="../ctrlProps/ctrlProp162.xml"/><Relationship Id="rId93" Type="http://schemas.openxmlformats.org/officeDocument/2006/relationships/ctrlProp" Target="../ctrlProps/ctrlProp170.xml"/><Relationship Id="rId98" Type="http://schemas.openxmlformats.org/officeDocument/2006/relationships/ctrlProp" Target="../ctrlProps/ctrlProp175.xml"/><Relationship Id="rId121" Type="http://schemas.openxmlformats.org/officeDocument/2006/relationships/ctrlProp" Target="../ctrlProps/ctrlProp198.xml"/><Relationship Id="rId3" Type="http://schemas.openxmlformats.org/officeDocument/2006/relationships/ctrlProp" Target="../ctrlProps/ctrlProp80.xml"/><Relationship Id="rId12" Type="http://schemas.openxmlformats.org/officeDocument/2006/relationships/ctrlProp" Target="../ctrlProps/ctrlProp89.xml"/><Relationship Id="rId17" Type="http://schemas.openxmlformats.org/officeDocument/2006/relationships/ctrlProp" Target="../ctrlProps/ctrlProp94.xml"/><Relationship Id="rId25" Type="http://schemas.openxmlformats.org/officeDocument/2006/relationships/ctrlProp" Target="../ctrlProps/ctrlProp102.xml"/><Relationship Id="rId33" Type="http://schemas.openxmlformats.org/officeDocument/2006/relationships/ctrlProp" Target="../ctrlProps/ctrlProp110.xml"/><Relationship Id="rId38" Type="http://schemas.openxmlformats.org/officeDocument/2006/relationships/ctrlProp" Target="../ctrlProps/ctrlProp115.xml"/><Relationship Id="rId46" Type="http://schemas.openxmlformats.org/officeDocument/2006/relationships/ctrlProp" Target="../ctrlProps/ctrlProp123.xml"/><Relationship Id="rId59" Type="http://schemas.openxmlformats.org/officeDocument/2006/relationships/ctrlProp" Target="../ctrlProps/ctrlProp136.xml"/><Relationship Id="rId67" Type="http://schemas.openxmlformats.org/officeDocument/2006/relationships/ctrlProp" Target="../ctrlProps/ctrlProp144.xml"/><Relationship Id="rId103" Type="http://schemas.openxmlformats.org/officeDocument/2006/relationships/ctrlProp" Target="../ctrlProps/ctrlProp180.xml"/><Relationship Id="rId108" Type="http://schemas.openxmlformats.org/officeDocument/2006/relationships/ctrlProp" Target="../ctrlProps/ctrlProp185.xml"/><Relationship Id="rId116" Type="http://schemas.openxmlformats.org/officeDocument/2006/relationships/ctrlProp" Target="../ctrlProps/ctrlProp193.xml"/><Relationship Id="rId124" Type="http://schemas.openxmlformats.org/officeDocument/2006/relationships/ctrlProp" Target="../ctrlProps/ctrlProp201.xml"/><Relationship Id="rId129" Type="http://schemas.openxmlformats.org/officeDocument/2006/relationships/ctrlProp" Target="../ctrlProps/ctrlProp206.xml"/><Relationship Id="rId137" Type="http://schemas.openxmlformats.org/officeDocument/2006/relationships/ctrlProp" Target="../ctrlProps/ctrlProp214.xml"/><Relationship Id="rId20" Type="http://schemas.openxmlformats.org/officeDocument/2006/relationships/ctrlProp" Target="../ctrlProps/ctrlProp97.xml"/><Relationship Id="rId41" Type="http://schemas.openxmlformats.org/officeDocument/2006/relationships/ctrlProp" Target="../ctrlProps/ctrlProp118.xml"/><Relationship Id="rId54" Type="http://schemas.openxmlformats.org/officeDocument/2006/relationships/ctrlProp" Target="../ctrlProps/ctrlProp131.xml"/><Relationship Id="rId62" Type="http://schemas.openxmlformats.org/officeDocument/2006/relationships/ctrlProp" Target="../ctrlProps/ctrlProp139.xml"/><Relationship Id="rId70" Type="http://schemas.openxmlformats.org/officeDocument/2006/relationships/ctrlProp" Target="../ctrlProps/ctrlProp147.xml"/><Relationship Id="rId75" Type="http://schemas.openxmlformats.org/officeDocument/2006/relationships/ctrlProp" Target="../ctrlProps/ctrlProp152.xml"/><Relationship Id="rId83" Type="http://schemas.openxmlformats.org/officeDocument/2006/relationships/ctrlProp" Target="../ctrlProps/ctrlProp160.xml"/><Relationship Id="rId88" Type="http://schemas.openxmlformats.org/officeDocument/2006/relationships/ctrlProp" Target="../ctrlProps/ctrlProp165.xml"/><Relationship Id="rId91" Type="http://schemas.openxmlformats.org/officeDocument/2006/relationships/ctrlProp" Target="../ctrlProps/ctrlProp168.xml"/><Relationship Id="rId96" Type="http://schemas.openxmlformats.org/officeDocument/2006/relationships/ctrlProp" Target="../ctrlProps/ctrlProp173.xml"/><Relationship Id="rId111" Type="http://schemas.openxmlformats.org/officeDocument/2006/relationships/ctrlProp" Target="../ctrlProps/ctrlProp188.xml"/><Relationship Id="rId132" Type="http://schemas.openxmlformats.org/officeDocument/2006/relationships/ctrlProp" Target="../ctrlProps/ctrlProp209.xml"/><Relationship Id="rId140" Type="http://schemas.openxmlformats.org/officeDocument/2006/relationships/ctrlProp" Target="../ctrlProps/ctrlProp217.xml"/><Relationship Id="rId1" Type="http://schemas.openxmlformats.org/officeDocument/2006/relationships/drawing" Target="../drawings/drawing4.xml"/><Relationship Id="rId6" Type="http://schemas.openxmlformats.org/officeDocument/2006/relationships/ctrlProp" Target="../ctrlProps/ctrlProp83.xml"/><Relationship Id="rId15" Type="http://schemas.openxmlformats.org/officeDocument/2006/relationships/ctrlProp" Target="../ctrlProps/ctrlProp92.xml"/><Relationship Id="rId23" Type="http://schemas.openxmlformats.org/officeDocument/2006/relationships/ctrlProp" Target="../ctrlProps/ctrlProp100.xml"/><Relationship Id="rId28" Type="http://schemas.openxmlformats.org/officeDocument/2006/relationships/ctrlProp" Target="../ctrlProps/ctrlProp105.xml"/><Relationship Id="rId36" Type="http://schemas.openxmlformats.org/officeDocument/2006/relationships/ctrlProp" Target="../ctrlProps/ctrlProp113.xml"/><Relationship Id="rId49" Type="http://schemas.openxmlformats.org/officeDocument/2006/relationships/ctrlProp" Target="../ctrlProps/ctrlProp126.xml"/><Relationship Id="rId57" Type="http://schemas.openxmlformats.org/officeDocument/2006/relationships/ctrlProp" Target="../ctrlProps/ctrlProp134.xml"/><Relationship Id="rId106" Type="http://schemas.openxmlformats.org/officeDocument/2006/relationships/ctrlProp" Target="../ctrlProps/ctrlProp183.xml"/><Relationship Id="rId114" Type="http://schemas.openxmlformats.org/officeDocument/2006/relationships/ctrlProp" Target="../ctrlProps/ctrlProp191.xml"/><Relationship Id="rId119" Type="http://schemas.openxmlformats.org/officeDocument/2006/relationships/ctrlProp" Target="../ctrlProps/ctrlProp196.xml"/><Relationship Id="rId127" Type="http://schemas.openxmlformats.org/officeDocument/2006/relationships/ctrlProp" Target="../ctrlProps/ctrlProp204.xml"/><Relationship Id="rId10" Type="http://schemas.openxmlformats.org/officeDocument/2006/relationships/ctrlProp" Target="../ctrlProps/ctrlProp87.xml"/><Relationship Id="rId31" Type="http://schemas.openxmlformats.org/officeDocument/2006/relationships/ctrlProp" Target="../ctrlProps/ctrlProp108.xml"/><Relationship Id="rId44" Type="http://schemas.openxmlformats.org/officeDocument/2006/relationships/ctrlProp" Target="../ctrlProps/ctrlProp121.xml"/><Relationship Id="rId52" Type="http://schemas.openxmlformats.org/officeDocument/2006/relationships/ctrlProp" Target="../ctrlProps/ctrlProp129.xml"/><Relationship Id="rId60" Type="http://schemas.openxmlformats.org/officeDocument/2006/relationships/ctrlProp" Target="../ctrlProps/ctrlProp137.xml"/><Relationship Id="rId65" Type="http://schemas.openxmlformats.org/officeDocument/2006/relationships/ctrlProp" Target="../ctrlProps/ctrlProp142.xml"/><Relationship Id="rId73" Type="http://schemas.openxmlformats.org/officeDocument/2006/relationships/ctrlProp" Target="../ctrlProps/ctrlProp150.xml"/><Relationship Id="rId78" Type="http://schemas.openxmlformats.org/officeDocument/2006/relationships/ctrlProp" Target="../ctrlProps/ctrlProp155.xml"/><Relationship Id="rId81" Type="http://schemas.openxmlformats.org/officeDocument/2006/relationships/ctrlProp" Target="../ctrlProps/ctrlProp158.xml"/><Relationship Id="rId86" Type="http://schemas.openxmlformats.org/officeDocument/2006/relationships/ctrlProp" Target="../ctrlProps/ctrlProp163.xml"/><Relationship Id="rId94" Type="http://schemas.openxmlformats.org/officeDocument/2006/relationships/ctrlProp" Target="../ctrlProps/ctrlProp171.xml"/><Relationship Id="rId99" Type="http://schemas.openxmlformats.org/officeDocument/2006/relationships/ctrlProp" Target="../ctrlProps/ctrlProp176.xml"/><Relationship Id="rId101" Type="http://schemas.openxmlformats.org/officeDocument/2006/relationships/ctrlProp" Target="../ctrlProps/ctrlProp178.xml"/><Relationship Id="rId122" Type="http://schemas.openxmlformats.org/officeDocument/2006/relationships/ctrlProp" Target="../ctrlProps/ctrlProp199.xml"/><Relationship Id="rId130" Type="http://schemas.openxmlformats.org/officeDocument/2006/relationships/ctrlProp" Target="../ctrlProps/ctrlProp207.xml"/><Relationship Id="rId135" Type="http://schemas.openxmlformats.org/officeDocument/2006/relationships/ctrlProp" Target="../ctrlProps/ctrlProp212.xml"/><Relationship Id="rId4" Type="http://schemas.openxmlformats.org/officeDocument/2006/relationships/ctrlProp" Target="../ctrlProps/ctrlProp81.xml"/><Relationship Id="rId9" Type="http://schemas.openxmlformats.org/officeDocument/2006/relationships/ctrlProp" Target="../ctrlProps/ctrlProp86.xml"/><Relationship Id="rId13" Type="http://schemas.openxmlformats.org/officeDocument/2006/relationships/ctrlProp" Target="../ctrlProps/ctrlProp90.xml"/><Relationship Id="rId18" Type="http://schemas.openxmlformats.org/officeDocument/2006/relationships/ctrlProp" Target="../ctrlProps/ctrlProp95.xml"/><Relationship Id="rId39" Type="http://schemas.openxmlformats.org/officeDocument/2006/relationships/ctrlProp" Target="../ctrlProps/ctrlProp116.xml"/><Relationship Id="rId109" Type="http://schemas.openxmlformats.org/officeDocument/2006/relationships/ctrlProp" Target="../ctrlProps/ctrlProp186.xml"/><Relationship Id="rId34" Type="http://schemas.openxmlformats.org/officeDocument/2006/relationships/ctrlProp" Target="../ctrlProps/ctrlProp111.xml"/><Relationship Id="rId50" Type="http://schemas.openxmlformats.org/officeDocument/2006/relationships/ctrlProp" Target="../ctrlProps/ctrlProp127.xml"/><Relationship Id="rId55" Type="http://schemas.openxmlformats.org/officeDocument/2006/relationships/ctrlProp" Target="../ctrlProps/ctrlProp132.xml"/><Relationship Id="rId76" Type="http://schemas.openxmlformats.org/officeDocument/2006/relationships/ctrlProp" Target="../ctrlProps/ctrlProp153.xml"/><Relationship Id="rId97" Type="http://schemas.openxmlformats.org/officeDocument/2006/relationships/ctrlProp" Target="../ctrlProps/ctrlProp174.xml"/><Relationship Id="rId104" Type="http://schemas.openxmlformats.org/officeDocument/2006/relationships/ctrlProp" Target="../ctrlProps/ctrlProp181.xml"/><Relationship Id="rId120" Type="http://schemas.openxmlformats.org/officeDocument/2006/relationships/ctrlProp" Target="../ctrlProps/ctrlProp197.xml"/><Relationship Id="rId125" Type="http://schemas.openxmlformats.org/officeDocument/2006/relationships/ctrlProp" Target="../ctrlProps/ctrlProp202.xml"/><Relationship Id="rId141" Type="http://schemas.openxmlformats.org/officeDocument/2006/relationships/ctrlProp" Target="../ctrlProps/ctrlProp218.xml"/><Relationship Id="rId7" Type="http://schemas.openxmlformats.org/officeDocument/2006/relationships/ctrlProp" Target="../ctrlProps/ctrlProp84.xml"/><Relationship Id="rId71" Type="http://schemas.openxmlformats.org/officeDocument/2006/relationships/ctrlProp" Target="../ctrlProps/ctrlProp148.xml"/><Relationship Id="rId92" Type="http://schemas.openxmlformats.org/officeDocument/2006/relationships/ctrlProp" Target="../ctrlProps/ctrlProp169.xml"/><Relationship Id="rId2" Type="http://schemas.openxmlformats.org/officeDocument/2006/relationships/vmlDrawing" Target="../drawings/vmlDrawing4.vml"/><Relationship Id="rId29" Type="http://schemas.openxmlformats.org/officeDocument/2006/relationships/ctrlProp" Target="../ctrlProps/ctrlProp106.xml"/><Relationship Id="rId24" Type="http://schemas.openxmlformats.org/officeDocument/2006/relationships/ctrlProp" Target="../ctrlProps/ctrlProp101.xml"/><Relationship Id="rId40" Type="http://schemas.openxmlformats.org/officeDocument/2006/relationships/ctrlProp" Target="../ctrlProps/ctrlProp117.xml"/><Relationship Id="rId45" Type="http://schemas.openxmlformats.org/officeDocument/2006/relationships/ctrlProp" Target="../ctrlProps/ctrlProp122.xml"/><Relationship Id="rId66" Type="http://schemas.openxmlformats.org/officeDocument/2006/relationships/ctrlProp" Target="../ctrlProps/ctrlProp143.xml"/><Relationship Id="rId87" Type="http://schemas.openxmlformats.org/officeDocument/2006/relationships/ctrlProp" Target="../ctrlProps/ctrlProp164.xml"/><Relationship Id="rId110" Type="http://schemas.openxmlformats.org/officeDocument/2006/relationships/ctrlProp" Target="../ctrlProps/ctrlProp187.xml"/><Relationship Id="rId115" Type="http://schemas.openxmlformats.org/officeDocument/2006/relationships/ctrlProp" Target="../ctrlProps/ctrlProp192.xml"/><Relationship Id="rId131" Type="http://schemas.openxmlformats.org/officeDocument/2006/relationships/ctrlProp" Target="../ctrlProps/ctrlProp208.xml"/><Relationship Id="rId136" Type="http://schemas.openxmlformats.org/officeDocument/2006/relationships/ctrlProp" Target="../ctrlProps/ctrlProp213.xml"/><Relationship Id="rId61" Type="http://schemas.openxmlformats.org/officeDocument/2006/relationships/ctrlProp" Target="../ctrlProps/ctrlProp138.xml"/><Relationship Id="rId82" Type="http://schemas.openxmlformats.org/officeDocument/2006/relationships/ctrlProp" Target="../ctrlProps/ctrlProp159.xml"/><Relationship Id="rId19" Type="http://schemas.openxmlformats.org/officeDocument/2006/relationships/ctrlProp" Target="../ctrlProps/ctrlProp96.xml"/><Relationship Id="rId14" Type="http://schemas.openxmlformats.org/officeDocument/2006/relationships/ctrlProp" Target="../ctrlProps/ctrlProp91.xml"/><Relationship Id="rId30" Type="http://schemas.openxmlformats.org/officeDocument/2006/relationships/ctrlProp" Target="../ctrlProps/ctrlProp107.xml"/><Relationship Id="rId35" Type="http://schemas.openxmlformats.org/officeDocument/2006/relationships/ctrlProp" Target="../ctrlProps/ctrlProp112.xml"/><Relationship Id="rId56" Type="http://schemas.openxmlformats.org/officeDocument/2006/relationships/ctrlProp" Target="../ctrlProps/ctrlProp133.xml"/><Relationship Id="rId77" Type="http://schemas.openxmlformats.org/officeDocument/2006/relationships/ctrlProp" Target="../ctrlProps/ctrlProp154.xml"/><Relationship Id="rId100" Type="http://schemas.openxmlformats.org/officeDocument/2006/relationships/ctrlProp" Target="../ctrlProps/ctrlProp177.xml"/><Relationship Id="rId105" Type="http://schemas.openxmlformats.org/officeDocument/2006/relationships/ctrlProp" Target="../ctrlProps/ctrlProp182.xml"/><Relationship Id="rId126" Type="http://schemas.openxmlformats.org/officeDocument/2006/relationships/ctrlProp" Target="../ctrlProps/ctrlProp203.xml"/></Relationships>
</file>

<file path=xl/worksheets/_rels/sheet6.xml.rels><?xml version="1.0" encoding="UTF-8" standalone="yes"?>
<Relationships xmlns="http://schemas.openxmlformats.org/package/2006/relationships"><Relationship Id="rId26" Type="http://schemas.openxmlformats.org/officeDocument/2006/relationships/ctrlProp" Target="../ctrlProps/ctrlProp242.xml"/><Relationship Id="rId117" Type="http://schemas.openxmlformats.org/officeDocument/2006/relationships/ctrlProp" Target="../ctrlProps/ctrlProp333.xml"/><Relationship Id="rId21" Type="http://schemas.openxmlformats.org/officeDocument/2006/relationships/ctrlProp" Target="../ctrlProps/ctrlProp237.xml"/><Relationship Id="rId42" Type="http://schemas.openxmlformats.org/officeDocument/2006/relationships/ctrlProp" Target="../ctrlProps/ctrlProp258.xml"/><Relationship Id="rId47" Type="http://schemas.openxmlformats.org/officeDocument/2006/relationships/ctrlProp" Target="../ctrlProps/ctrlProp263.xml"/><Relationship Id="rId63" Type="http://schemas.openxmlformats.org/officeDocument/2006/relationships/ctrlProp" Target="../ctrlProps/ctrlProp279.xml"/><Relationship Id="rId68" Type="http://schemas.openxmlformats.org/officeDocument/2006/relationships/ctrlProp" Target="../ctrlProps/ctrlProp284.xml"/><Relationship Id="rId84" Type="http://schemas.openxmlformats.org/officeDocument/2006/relationships/ctrlProp" Target="../ctrlProps/ctrlProp300.xml"/><Relationship Id="rId89" Type="http://schemas.openxmlformats.org/officeDocument/2006/relationships/ctrlProp" Target="../ctrlProps/ctrlProp305.xml"/><Relationship Id="rId112" Type="http://schemas.openxmlformats.org/officeDocument/2006/relationships/ctrlProp" Target="../ctrlProps/ctrlProp328.xml"/><Relationship Id="rId133" Type="http://schemas.openxmlformats.org/officeDocument/2006/relationships/ctrlProp" Target="../ctrlProps/ctrlProp349.xml"/><Relationship Id="rId138" Type="http://schemas.openxmlformats.org/officeDocument/2006/relationships/ctrlProp" Target="../ctrlProps/ctrlProp354.xml"/><Relationship Id="rId16" Type="http://schemas.openxmlformats.org/officeDocument/2006/relationships/ctrlProp" Target="../ctrlProps/ctrlProp232.xml"/><Relationship Id="rId107" Type="http://schemas.openxmlformats.org/officeDocument/2006/relationships/ctrlProp" Target="../ctrlProps/ctrlProp323.xml"/><Relationship Id="rId11" Type="http://schemas.openxmlformats.org/officeDocument/2006/relationships/ctrlProp" Target="../ctrlProps/ctrlProp227.xml"/><Relationship Id="rId32" Type="http://schemas.openxmlformats.org/officeDocument/2006/relationships/ctrlProp" Target="../ctrlProps/ctrlProp248.xml"/><Relationship Id="rId37" Type="http://schemas.openxmlformats.org/officeDocument/2006/relationships/ctrlProp" Target="../ctrlProps/ctrlProp253.xml"/><Relationship Id="rId53" Type="http://schemas.openxmlformats.org/officeDocument/2006/relationships/ctrlProp" Target="../ctrlProps/ctrlProp269.xml"/><Relationship Id="rId58" Type="http://schemas.openxmlformats.org/officeDocument/2006/relationships/ctrlProp" Target="../ctrlProps/ctrlProp274.xml"/><Relationship Id="rId74" Type="http://schemas.openxmlformats.org/officeDocument/2006/relationships/ctrlProp" Target="../ctrlProps/ctrlProp290.xml"/><Relationship Id="rId79" Type="http://schemas.openxmlformats.org/officeDocument/2006/relationships/ctrlProp" Target="../ctrlProps/ctrlProp295.xml"/><Relationship Id="rId102" Type="http://schemas.openxmlformats.org/officeDocument/2006/relationships/ctrlProp" Target="../ctrlProps/ctrlProp318.xml"/><Relationship Id="rId123" Type="http://schemas.openxmlformats.org/officeDocument/2006/relationships/ctrlProp" Target="../ctrlProps/ctrlProp339.xml"/><Relationship Id="rId128" Type="http://schemas.openxmlformats.org/officeDocument/2006/relationships/ctrlProp" Target="../ctrlProps/ctrlProp344.xml"/><Relationship Id="rId144" Type="http://schemas.openxmlformats.org/officeDocument/2006/relationships/ctrlProp" Target="../ctrlProps/ctrlProp360.xml"/><Relationship Id="rId5" Type="http://schemas.openxmlformats.org/officeDocument/2006/relationships/ctrlProp" Target="../ctrlProps/ctrlProp221.xml"/><Relationship Id="rId90" Type="http://schemas.openxmlformats.org/officeDocument/2006/relationships/ctrlProp" Target="../ctrlProps/ctrlProp306.xml"/><Relationship Id="rId95" Type="http://schemas.openxmlformats.org/officeDocument/2006/relationships/ctrlProp" Target="../ctrlProps/ctrlProp311.xml"/><Relationship Id="rId22" Type="http://schemas.openxmlformats.org/officeDocument/2006/relationships/ctrlProp" Target="../ctrlProps/ctrlProp238.xml"/><Relationship Id="rId27" Type="http://schemas.openxmlformats.org/officeDocument/2006/relationships/ctrlProp" Target="../ctrlProps/ctrlProp243.xml"/><Relationship Id="rId43" Type="http://schemas.openxmlformats.org/officeDocument/2006/relationships/ctrlProp" Target="../ctrlProps/ctrlProp259.xml"/><Relationship Id="rId48" Type="http://schemas.openxmlformats.org/officeDocument/2006/relationships/ctrlProp" Target="../ctrlProps/ctrlProp264.xml"/><Relationship Id="rId64" Type="http://schemas.openxmlformats.org/officeDocument/2006/relationships/ctrlProp" Target="../ctrlProps/ctrlProp280.xml"/><Relationship Id="rId69" Type="http://schemas.openxmlformats.org/officeDocument/2006/relationships/ctrlProp" Target="../ctrlProps/ctrlProp285.xml"/><Relationship Id="rId113" Type="http://schemas.openxmlformats.org/officeDocument/2006/relationships/ctrlProp" Target="../ctrlProps/ctrlProp329.xml"/><Relationship Id="rId118" Type="http://schemas.openxmlformats.org/officeDocument/2006/relationships/ctrlProp" Target="../ctrlProps/ctrlProp334.xml"/><Relationship Id="rId134" Type="http://schemas.openxmlformats.org/officeDocument/2006/relationships/ctrlProp" Target="../ctrlProps/ctrlProp350.xml"/><Relationship Id="rId139" Type="http://schemas.openxmlformats.org/officeDocument/2006/relationships/ctrlProp" Target="../ctrlProps/ctrlProp355.xml"/><Relationship Id="rId8" Type="http://schemas.openxmlformats.org/officeDocument/2006/relationships/ctrlProp" Target="../ctrlProps/ctrlProp224.xml"/><Relationship Id="rId51" Type="http://schemas.openxmlformats.org/officeDocument/2006/relationships/ctrlProp" Target="../ctrlProps/ctrlProp267.xml"/><Relationship Id="rId72" Type="http://schemas.openxmlformats.org/officeDocument/2006/relationships/ctrlProp" Target="../ctrlProps/ctrlProp288.xml"/><Relationship Id="rId80" Type="http://schemas.openxmlformats.org/officeDocument/2006/relationships/ctrlProp" Target="../ctrlProps/ctrlProp296.xml"/><Relationship Id="rId85" Type="http://schemas.openxmlformats.org/officeDocument/2006/relationships/ctrlProp" Target="../ctrlProps/ctrlProp301.xml"/><Relationship Id="rId93" Type="http://schemas.openxmlformats.org/officeDocument/2006/relationships/ctrlProp" Target="../ctrlProps/ctrlProp309.xml"/><Relationship Id="rId98" Type="http://schemas.openxmlformats.org/officeDocument/2006/relationships/ctrlProp" Target="../ctrlProps/ctrlProp314.xml"/><Relationship Id="rId121" Type="http://schemas.openxmlformats.org/officeDocument/2006/relationships/ctrlProp" Target="../ctrlProps/ctrlProp337.xml"/><Relationship Id="rId142" Type="http://schemas.openxmlformats.org/officeDocument/2006/relationships/ctrlProp" Target="../ctrlProps/ctrlProp358.xml"/><Relationship Id="rId3" Type="http://schemas.openxmlformats.org/officeDocument/2006/relationships/ctrlProp" Target="../ctrlProps/ctrlProp219.xml"/><Relationship Id="rId12" Type="http://schemas.openxmlformats.org/officeDocument/2006/relationships/ctrlProp" Target="../ctrlProps/ctrlProp228.xml"/><Relationship Id="rId17" Type="http://schemas.openxmlformats.org/officeDocument/2006/relationships/ctrlProp" Target="../ctrlProps/ctrlProp233.xml"/><Relationship Id="rId25" Type="http://schemas.openxmlformats.org/officeDocument/2006/relationships/ctrlProp" Target="../ctrlProps/ctrlProp241.xml"/><Relationship Id="rId33" Type="http://schemas.openxmlformats.org/officeDocument/2006/relationships/ctrlProp" Target="../ctrlProps/ctrlProp249.xml"/><Relationship Id="rId38" Type="http://schemas.openxmlformats.org/officeDocument/2006/relationships/ctrlProp" Target="../ctrlProps/ctrlProp254.xml"/><Relationship Id="rId46" Type="http://schemas.openxmlformats.org/officeDocument/2006/relationships/ctrlProp" Target="../ctrlProps/ctrlProp262.xml"/><Relationship Id="rId59" Type="http://schemas.openxmlformats.org/officeDocument/2006/relationships/ctrlProp" Target="../ctrlProps/ctrlProp275.xml"/><Relationship Id="rId67" Type="http://schemas.openxmlformats.org/officeDocument/2006/relationships/ctrlProp" Target="../ctrlProps/ctrlProp283.xml"/><Relationship Id="rId103" Type="http://schemas.openxmlformats.org/officeDocument/2006/relationships/ctrlProp" Target="../ctrlProps/ctrlProp319.xml"/><Relationship Id="rId108" Type="http://schemas.openxmlformats.org/officeDocument/2006/relationships/ctrlProp" Target="../ctrlProps/ctrlProp324.xml"/><Relationship Id="rId116" Type="http://schemas.openxmlformats.org/officeDocument/2006/relationships/ctrlProp" Target="../ctrlProps/ctrlProp332.xml"/><Relationship Id="rId124" Type="http://schemas.openxmlformats.org/officeDocument/2006/relationships/ctrlProp" Target="../ctrlProps/ctrlProp340.xml"/><Relationship Id="rId129" Type="http://schemas.openxmlformats.org/officeDocument/2006/relationships/ctrlProp" Target="../ctrlProps/ctrlProp345.xml"/><Relationship Id="rId137" Type="http://schemas.openxmlformats.org/officeDocument/2006/relationships/ctrlProp" Target="../ctrlProps/ctrlProp353.xml"/><Relationship Id="rId20" Type="http://schemas.openxmlformats.org/officeDocument/2006/relationships/ctrlProp" Target="../ctrlProps/ctrlProp236.xml"/><Relationship Id="rId41" Type="http://schemas.openxmlformats.org/officeDocument/2006/relationships/ctrlProp" Target="../ctrlProps/ctrlProp257.xml"/><Relationship Id="rId54" Type="http://schemas.openxmlformats.org/officeDocument/2006/relationships/ctrlProp" Target="../ctrlProps/ctrlProp270.xml"/><Relationship Id="rId62" Type="http://schemas.openxmlformats.org/officeDocument/2006/relationships/ctrlProp" Target="../ctrlProps/ctrlProp278.xml"/><Relationship Id="rId70" Type="http://schemas.openxmlformats.org/officeDocument/2006/relationships/ctrlProp" Target="../ctrlProps/ctrlProp286.xml"/><Relationship Id="rId75" Type="http://schemas.openxmlformats.org/officeDocument/2006/relationships/ctrlProp" Target="../ctrlProps/ctrlProp291.xml"/><Relationship Id="rId83" Type="http://schemas.openxmlformats.org/officeDocument/2006/relationships/ctrlProp" Target="../ctrlProps/ctrlProp299.xml"/><Relationship Id="rId88" Type="http://schemas.openxmlformats.org/officeDocument/2006/relationships/ctrlProp" Target="../ctrlProps/ctrlProp304.xml"/><Relationship Id="rId91" Type="http://schemas.openxmlformats.org/officeDocument/2006/relationships/ctrlProp" Target="../ctrlProps/ctrlProp307.xml"/><Relationship Id="rId96" Type="http://schemas.openxmlformats.org/officeDocument/2006/relationships/ctrlProp" Target="../ctrlProps/ctrlProp312.xml"/><Relationship Id="rId111" Type="http://schemas.openxmlformats.org/officeDocument/2006/relationships/ctrlProp" Target="../ctrlProps/ctrlProp327.xml"/><Relationship Id="rId132" Type="http://schemas.openxmlformats.org/officeDocument/2006/relationships/ctrlProp" Target="../ctrlProps/ctrlProp348.xml"/><Relationship Id="rId140" Type="http://schemas.openxmlformats.org/officeDocument/2006/relationships/ctrlProp" Target="../ctrlProps/ctrlProp356.xml"/><Relationship Id="rId1" Type="http://schemas.openxmlformats.org/officeDocument/2006/relationships/drawing" Target="../drawings/drawing5.xml"/><Relationship Id="rId6" Type="http://schemas.openxmlformats.org/officeDocument/2006/relationships/ctrlProp" Target="../ctrlProps/ctrlProp222.xml"/><Relationship Id="rId15" Type="http://schemas.openxmlformats.org/officeDocument/2006/relationships/ctrlProp" Target="../ctrlProps/ctrlProp231.xml"/><Relationship Id="rId23" Type="http://schemas.openxmlformats.org/officeDocument/2006/relationships/ctrlProp" Target="../ctrlProps/ctrlProp239.xml"/><Relationship Id="rId28" Type="http://schemas.openxmlformats.org/officeDocument/2006/relationships/ctrlProp" Target="../ctrlProps/ctrlProp244.xml"/><Relationship Id="rId36" Type="http://schemas.openxmlformats.org/officeDocument/2006/relationships/ctrlProp" Target="../ctrlProps/ctrlProp252.xml"/><Relationship Id="rId49" Type="http://schemas.openxmlformats.org/officeDocument/2006/relationships/ctrlProp" Target="../ctrlProps/ctrlProp265.xml"/><Relationship Id="rId57" Type="http://schemas.openxmlformats.org/officeDocument/2006/relationships/ctrlProp" Target="../ctrlProps/ctrlProp273.xml"/><Relationship Id="rId106" Type="http://schemas.openxmlformats.org/officeDocument/2006/relationships/ctrlProp" Target="../ctrlProps/ctrlProp322.xml"/><Relationship Id="rId114" Type="http://schemas.openxmlformats.org/officeDocument/2006/relationships/ctrlProp" Target="../ctrlProps/ctrlProp330.xml"/><Relationship Id="rId119" Type="http://schemas.openxmlformats.org/officeDocument/2006/relationships/ctrlProp" Target="../ctrlProps/ctrlProp335.xml"/><Relationship Id="rId127" Type="http://schemas.openxmlformats.org/officeDocument/2006/relationships/ctrlProp" Target="../ctrlProps/ctrlProp343.xml"/><Relationship Id="rId10" Type="http://schemas.openxmlformats.org/officeDocument/2006/relationships/ctrlProp" Target="../ctrlProps/ctrlProp226.xml"/><Relationship Id="rId31" Type="http://schemas.openxmlformats.org/officeDocument/2006/relationships/ctrlProp" Target="../ctrlProps/ctrlProp247.xml"/><Relationship Id="rId44" Type="http://schemas.openxmlformats.org/officeDocument/2006/relationships/ctrlProp" Target="../ctrlProps/ctrlProp260.xml"/><Relationship Id="rId52" Type="http://schemas.openxmlformats.org/officeDocument/2006/relationships/ctrlProp" Target="../ctrlProps/ctrlProp268.xml"/><Relationship Id="rId60" Type="http://schemas.openxmlformats.org/officeDocument/2006/relationships/ctrlProp" Target="../ctrlProps/ctrlProp276.xml"/><Relationship Id="rId65" Type="http://schemas.openxmlformats.org/officeDocument/2006/relationships/ctrlProp" Target="../ctrlProps/ctrlProp281.xml"/><Relationship Id="rId73" Type="http://schemas.openxmlformats.org/officeDocument/2006/relationships/ctrlProp" Target="../ctrlProps/ctrlProp289.xml"/><Relationship Id="rId78" Type="http://schemas.openxmlformats.org/officeDocument/2006/relationships/ctrlProp" Target="../ctrlProps/ctrlProp294.xml"/><Relationship Id="rId81" Type="http://schemas.openxmlformats.org/officeDocument/2006/relationships/ctrlProp" Target="../ctrlProps/ctrlProp297.xml"/><Relationship Id="rId86" Type="http://schemas.openxmlformats.org/officeDocument/2006/relationships/ctrlProp" Target="../ctrlProps/ctrlProp302.xml"/><Relationship Id="rId94" Type="http://schemas.openxmlformats.org/officeDocument/2006/relationships/ctrlProp" Target="../ctrlProps/ctrlProp310.xml"/><Relationship Id="rId99" Type="http://schemas.openxmlformats.org/officeDocument/2006/relationships/ctrlProp" Target="../ctrlProps/ctrlProp315.xml"/><Relationship Id="rId101" Type="http://schemas.openxmlformats.org/officeDocument/2006/relationships/ctrlProp" Target="../ctrlProps/ctrlProp317.xml"/><Relationship Id="rId122" Type="http://schemas.openxmlformats.org/officeDocument/2006/relationships/ctrlProp" Target="../ctrlProps/ctrlProp338.xml"/><Relationship Id="rId130" Type="http://schemas.openxmlformats.org/officeDocument/2006/relationships/ctrlProp" Target="../ctrlProps/ctrlProp346.xml"/><Relationship Id="rId135" Type="http://schemas.openxmlformats.org/officeDocument/2006/relationships/ctrlProp" Target="../ctrlProps/ctrlProp351.xml"/><Relationship Id="rId143" Type="http://schemas.openxmlformats.org/officeDocument/2006/relationships/ctrlProp" Target="../ctrlProps/ctrlProp359.xml"/><Relationship Id="rId4" Type="http://schemas.openxmlformats.org/officeDocument/2006/relationships/ctrlProp" Target="../ctrlProps/ctrlProp220.xml"/><Relationship Id="rId9" Type="http://schemas.openxmlformats.org/officeDocument/2006/relationships/ctrlProp" Target="../ctrlProps/ctrlProp225.xml"/><Relationship Id="rId13" Type="http://schemas.openxmlformats.org/officeDocument/2006/relationships/ctrlProp" Target="../ctrlProps/ctrlProp229.xml"/><Relationship Id="rId18" Type="http://schemas.openxmlformats.org/officeDocument/2006/relationships/ctrlProp" Target="../ctrlProps/ctrlProp234.xml"/><Relationship Id="rId39" Type="http://schemas.openxmlformats.org/officeDocument/2006/relationships/ctrlProp" Target="../ctrlProps/ctrlProp255.xml"/><Relationship Id="rId109" Type="http://schemas.openxmlformats.org/officeDocument/2006/relationships/ctrlProp" Target="../ctrlProps/ctrlProp325.xml"/><Relationship Id="rId34" Type="http://schemas.openxmlformats.org/officeDocument/2006/relationships/ctrlProp" Target="../ctrlProps/ctrlProp250.xml"/><Relationship Id="rId50" Type="http://schemas.openxmlformats.org/officeDocument/2006/relationships/ctrlProp" Target="../ctrlProps/ctrlProp266.xml"/><Relationship Id="rId55" Type="http://schemas.openxmlformats.org/officeDocument/2006/relationships/ctrlProp" Target="../ctrlProps/ctrlProp271.xml"/><Relationship Id="rId76" Type="http://schemas.openxmlformats.org/officeDocument/2006/relationships/ctrlProp" Target="../ctrlProps/ctrlProp292.xml"/><Relationship Id="rId97" Type="http://schemas.openxmlformats.org/officeDocument/2006/relationships/ctrlProp" Target="../ctrlProps/ctrlProp313.xml"/><Relationship Id="rId104" Type="http://schemas.openxmlformats.org/officeDocument/2006/relationships/ctrlProp" Target="../ctrlProps/ctrlProp320.xml"/><Relationship Id="rId120" Type="http://schemas.openxmlformats.org/officeDocument/2006/relationships/ctrlProp" Target="../ctrlProps/ctrlProp336.xml"/><Relationship Id="rId125" Type="http://schemas.openxmlformats.org/officeDocument/2006/relationships/ctrlProp" Target="../ctrlProps/ctrlProp341.xml"/><Relationship Id="rId141" Type="http://schemas.openxmlformats.org/officeDocument/2006/relationships/ctrlProp" Target="../ctrlProps/ctrlProp357.xml"/><Relationship Id="rId7" Type="http://schemas.openxmlformats.org/officeDocument/2006/relationships/ctrlProp" Target="../ctrlProps/ctrlProp223.xml"/><Relationship Id="rId71" Type="http://schemas.openxmlformats.org/officeDocument/2006/relationships/ctrlProp" Target="../ctrlProps/ctrlProp287.xml"/><Relationship Id="rId92" Type="http://schemas.openxmlformats.org/officeDocument/2006/relationships/ctrlProp" Target="../ctrlProps/ctrlProp308.xml"/><Relationship Id="rId2" Type="http://schemas.openxmlformats.org/officeDocument/2006/relationships/vmlDrawing" Target="../drawings/vmlDrawing5.vml"/><Relationship Id="rId29" Type="http://schemas.openxmlformats.org/officeDocument/2006/relationships/ctrlProp" Target="../ctrlProps/ctrlProp245.xml"/><Relationship Id="rId24" Type="http://schemas.openxmlformats.org/officeDocument/2006/relationships/ctrlProp" Target="../ctrlProps/ctrlProp240.xml"/><Relationship Id="rId40" Type="http://schemas.openxmlformats.org/officeDocument/2006/relationships/ctrlProp" Target="../ctrlProps/ctrlProp256.xml"/><Relationship Id="rId45" Type="http://schemas.openxmlformats.org/officeDocument/2006/relationships/ctrlProp" Target="../ctrlProps/ctrlProp261.xml"/><Relationship Id="rId66" Type="http://schemas.openxmlformats.org/officeDocument/2006/relationships/ctrlProp" Target="../ctrlProps/ctrlProp282.xml"/><Relationship Id="rId87" Type="http://schemas.openxmlformats.org/officeDocument/2006/relationships/ctrlProp" Target="../ctrlProps/ctrlProp303.xml"/><Relationship Id="rId110" Type="http://schemas.openxmlformats.org/officeDocument/2006/relationships/ctrlProp" Target="../ctrlProps/ctrlProp326.xml"/><Relationship Id="rId115" Type="http://schemas.openxmlformats.org/officeDocument/2006/relationships/ctrlProp" Target="../ctrlProps/ctrlProp331.xml"/><Relationship Id="rId131" Type="http://schemas.openxmlformats.org/officeDocument/2006/relationships/ctrlProp" Target="../ctrlProps/ctrlProp347.xml"/><Relationship Id="rId136" Type="http://schemas.openxmlformats.org/officeDocument/2006/relationships/ctrlProp" Target="../ctrlProps/ctrlProp352.xml"/><Relationship Id="rId61" Type="http://schemas.openxmlformats.org/officeDocument/2006/relationships/ctrlProp" Target="../ctrlProps/ctrlProp277.xml"/><Relationship Id="rId82" Type="http://schemas.openxmlformats.org/officeDocument/2006/relationships/ctrlProp" Target="../ctrlProps/ctrlProp298.xml"/><Relationship Id="rId19" Type="http://schemas.openxmlformats.org/officeDocument/2006/relationships/ctrlProp" Target="../ctrlProps/ctrlProp235.xml"/><Relationship Id="rId14" Type="http://schemas.openxmlformats.org/officeDocument/2006/relationships/ctrlProp" Target="../ctrlProps/ctrlProp230.xml"/><Relationship Id="rId30" Type="http://schemas.openxmlformats.org/officeDocument/2006/relationships/ctrlProp" Target="../ctrlProps/ctrlProp246.xml"/><Relationship Id="rId35" Type="http://schemas.openxmlformats.org/officeDocument/2006/relationships/ctrlProp" Target="../ctrlProps/ctrlProp251.xml"/><Relationship Id="rId56" Type="http://schemas.openxmlformats.org/officeDocument/2006/relationships/ctrlProp" Target="../ctrlProps/ctrlProp272.xml"/><Relationship Id="rId77" Type="http://schemas.openxmlformats.org/officeDocument/2006/relationships/ctrlProp" Target="../ctrlProps/ctrlProp293.xml"/><Relationship Id="rId100" Type="http://schemas.openxmlformats.org/officeDocument/2006/relationships/ctrlProp" Target="../ctrlProps/ctrlProp316.xml"/><Relationship Id="rId105" Type="http://schemas.openxmlformats.org/officeDocument/2006/relationships/ctrlProp" Target="../ctrlProps/ctrlProp321.xml"/><Relationship Id="rId126" Type="http://schemas.openxmlformats.org/officeDocument/2006/relationships/ctrlProp" Target="../ctrlProps/ctrlProp342.xml"/></Relationships>
</file>

<file path=xl/worksheets/_rels/sheet7.xml.rels><?xml version="1.0" encoding="UTF-8" standalone="yes"?>
<Relationships xmlns="http://schemas.openxmlformats.org/package/2006/relationships"><Relationship Id="rId3" Type="http://schemas.openxmlformats.org/officeDocument/2006/relationships/hyperlink" Target="https://equans.nl/equans-digital" TargetMode="External"/><Relationship Id="rId2" Type="http://schemas.openxmlformats.org/officeDocument/2006/relationships/hyperlink" Target="https://www.ncsc.nl/over-ncsc/wettelijke-taak/wat-gaat-de-nis2-richtlijn-betekenen-voor-uw-organisatie" TargetMode="External"/><Relationship Id="rId1" Type="http://schemas.openxmlformats.org/officeDocument/2006/relationships/hyperlink" Target="https://www.rvo.nl/onderwerpen/wetten-en-regels-gebouwen/wetchecker-energiebesparing" TargetMode="Externa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30E92-8DAE-45DD-B668-F38EB9F17AA5}">
  <sheetPr codeName="Blad8"/>
  <dimension ref="A1:K49"/>
  <sheetViews>
    <sheetView topLeftCell="A23" workbookViewId="0">
      <selection activeCell="B24" sqref="B24"/>
    </sheetView>
  </sheetViews>
  <sheetFormatPr defaultRowHeight="12.75"/>
  <cols>
    <col min="1" max="1" width="18.85546875" bestFit="1" customWidth="1"/>
  </cols>
  <sheetData>
    <row r="1" spans="1:7">
      <c r="A1" t="s">
        <v>239</v>
      </c>
    </row>
    <row r="2" spans="1:7" ht="88.5" customHeight="1">
      <c r="A2" t="s">
        <v>61</v>
      </c>
      <c r="B2" s="14">
        <v>456</v>
      </c>
      <c r="C2" s="14" t="str">
        <f>Gegevens!A18</f>
        <v>Contractniveau</v>
      </c>
      <c r="D2" s="14" t="str">
        <f>Gegevens!A37</f>
        <v>Meet- en regel onderhoudsrapportage</v>
      </c>
      <c r="E2" s="14" t="str">
        <f>Gegevens!A19</f>
        <v>Onderhoudstaken</v>
      </c>
      <c r="F2" s="14" t="s">
        <v>104</v>
      </c>
      <c r="G2" s="14" t="s">
        <v>182</v>
      </c>
    </row>
    <row r="3" spans="1:7">
      <c r="A3" t="s">
        <v>60</v>
      </c>
      <c r="B3" s="18"/>
      <c r="C3" s="18" t="s">
        <v>240</v>
      </c>
      <c r="D3" s="18"/>
      <c r="E3" s="18"/>
      <c r="F3" s="18"/>
      <c r="G3" s="18"/>
    </row>
    <row r="4" spans="1:7">
      <c r="B4" s="18" t="str" cm="1">
        <f t="array" ref="B4">_xlfn.IFS(B3="","NIETS INGEVULD",B3=1,B6,B3=2,B7,B3=3,B8,B3=4,B9,B3=5,B10)</f>
        <v>NIETS INGEVULD</v>
      </c>
      <c r="C4" s="18" t="e" cm="1">
        <f t="array" ref="C4">_xlfn.IFS(C3="","NIETS INGEVULD",C3=1,C6,C3=2,C7,C3=3,C8,C3=4,C9,C3=5,C10)</f>
        <v>#N/A</v>
      </c>
      <c r="D4" s="18" t="str" cm="1">
        <f t="array" ref="D4">_xlfn.IFS(D3="","NIETS INGEVULD",D3=1,D6,D3=2,D7,D3=3,D8,D3=4,D9,D3=5,D10)</f>
        <v>NIETS INGEVULD</v>
      </c>
      <c r="E4" s="18" t="e" cm="1">
        <f t="array" ref="E4">IF(C3="","NIETS INGEVULD",_xlfn.IFS(C3=1,E6,C3=2,E6&amp;E7,C3=3,E6&amp;E7&amp;E8,C3=4,E6&amp;E7&amp;E8&amp;E9,C3=5,E6&amp;E7&amp;E8&amp;E9&amp;E10))</f>
        <v>#N/A</v>
      </c>
      <c r="F4" s="18" t="e" cm="1">
        <f t="array" ref="F4">IF(C3="","NIETS INGEVULD",_xlfn.IFS(C3=1,F6,C3=2,F6&amp;F7,C3=3,F6&amp;F7&amp;F8))</f>
        <v>#N/A</v>
      </c>
      <c r="G4" s="18" t="str" cm="1">
        <f t="array" ref="G4">_xlfn.IFS(G3="","NIETS INGEVULD",G3=1,G6,G3=2,G7,G3=3,G8,G3=4,G9,G3=5,G10,G3=6,G11)</f>
        <v>NIETS INGEVULD</v>
      </c>
    </row>
    <row r="5" spans="1:7">
      <c r="B5" s="8"/>
      <c r="D5" s="8"/>
    </row>
    <row r="6" spans="1:7">
      <c r="A6" t="s">
        <v>64</v>
      </c>
      <c r="B6" s="8">
        <v>1</v>
      </c>
      <c r="C6" t="s">
        <v>18</v>
      </c>
      <c r="D6" t="str">
        <f>1&amp;" van "&amp;B3</f>
        <v xml:space="preserve">1 van </v>
      </c>
      <c r="E6" t="s">
        <v>235</v>
      </c>
      <c r="F6" t="s">
        <v>199</v>
      </c>
      <c r="G6" t="s">
        <v>183</v>
      </c>
    </row>
    <row r="7" spans="1:7">
      <c r="B7" s="8">
        <v>2</v>
      </c>
      <c r="C7" t="s">
        <v>19</v>
      </c>
      <c r="D7" t="str">
        <f>IF(B3&lt;2,"FOUTIEVE INVOER",2&amp;" van "&amp;B3)</f>
        <v>FOUTIEVE INVOER</v>
      </c>
      <c r="E7" t="s">
        <v>237</v>
      </c>
      <c r="G7" t="s">
        <v>184</v>
      </c>
    </row>
    <row r="8" spans="1:7">
      <c r="B8" s="8">
        <v>3</v>
      </c>
      <c r="C8" t="s">
        <v>20</v>
      </c>
      <c r="D8" t="str">
        <f>IF(B3&lt;3,"FOUTIEVE INVOER",3&amp;" van "&amp;B3)</f>
        <v>FOUTIEVE INVOER</v>
      </c>
      <c r="E8" t="s">
        <v>236</v>
      </c>
      <c r="F8" t="s">
        <v>105</v>
      </c>
      <c r="G8" t="s">
        <v>185</v>
      </c>
    </row>
    <row r="9" spans="1:7">
      <c r="B9" s="8">
        <v>4</v>
      </c>
      <c r="D9" t="str">
        <f>IF(B3&lt;4,"FOUTIEVE INVOER",4&amp;" van "&amp;B3)</f>
        <v>FOUTIEVE INVOER</v>
      </c>
      <c r="G9" t="s">
        <v>186</v>
      </c>
    </row>
    <row r="10" spans="1:7">
      <c r="B10" s="8"/>
      <c r="G10" t="s">
        <v>187</v>
      </c>
    </row>
    <row r="11" spans="1:7">
      <c r="G11" t="s">
        <v>179</v>
      </c>
    </row>
    <row r="12" spans="1:7" ht="30">
      <c r="A12" t="s">
        <v>110</v>
      </c>
      <c r="B12" s="14">
        <f>Gegevens!A48</f>
        <v>0</v>
      </c>
      <c r="C12" s="14">
        <f>Gegevens!A45</f>
        <v>0</v>
      </c>
      <c r="D12" s="14">
        <f>Gegevens!A46</f>
        <v>0</v>
      </c>
      <c r="E12" s="14">
        <f>Gegevens!A47</f>
        <v>0</v>
      </c>
      <c r="F12" s="14" t="e">
        <f>#REF!</f>
        <v>#REF!</v>
      </c>
      <c r="G12" s="14" t="e">
        <f>#REF!</f>
        <v>#REF!</v>
      </c>
    </row>
    <row r="13" spans="1:7">
      <c r="A13" t="s">
        <v>60</v>
      </c>
      <c r="B13" s="18"/>
      <c r="C13" s="18"/>
      <c r="D13" s="18"/>
      <c r="E13" s="18"/>
      <c r="F13" s="29"/>
    </row>
    <row r="14" spans="1:7">
      <c r="B14" s="18" t="str" cm="1">
        <f t="array" ref="B14">_xlfn.IFS(B13="","NIETS INGEVULD",B13=1,B16,B13=2,B17,B13=3,B18,B13=4,B19,B13=5,B20)</f>
        <v>NIETS INGEVULD</v>
      </c>
      <c r="C14" s="18" t="str" cm="1">
        <f t="array" ref="C14">_xlfn.IFS(C13="","NIETS INGEVULD",C13=1,C16,C13=2,C17,C13=3,C18,C13=4,C19,C13=5,C20)</f>
        <v>NIETS INGEVULD</v>
      </c>
      <c r="D14" s="18" t="str" cm="1">
        <f t="array" ref="D14">_xlfn.IFS(D13="","NIETS INGEVULD",D13=1,D16,D13=2,D17,D13=3,D18,D13=4,D19,D13=5,D20)</f>
        <v>NIETS INGEVULD</v>
      </c>
      <c r="E14" s="18" t="str" cm="1">
        <f t="array" ref="E14">_xlfn.IFS(E13="","NIETS INGEVULD",E13=1,E16,E13=2,E17,E13=3,E18,E13=4,E19,E13=5,E20)</f>
        <v>NIETS INGEVULD</v>
      </c>
      <c r="F14" s="18" t="str" cm="1">
        <f t="array" ref="F14">_xlfn.IFS(F13="","NIETS INGEVULD",F13=1,F16,F13=2,F17,F13=3,F18,F13=4,F19,F13=5,F20)</f>
        <v>NIETS INGEVULD</v>
      </c>
      <c r="G14" s="18" t="str" cm="1">
        <f t="array" ref="G14">_xlfn.IFS(G13="","NIETS INGEVULD",G13=1,G16,G13=2,G17,G13=3,G18,G13=4,G19,G13=5,G20)</f>
        <v>NIETS INGEVULD</v>
      </c>
    </row>
    <row r="15" spans="1:7">
      <c r="B15" s="8"/>
      <c r="C15" s="8"/>
      <c r="D15" s="8"/>
    </row>
    <row r="16" spans="1:7">
      <c r="A16" t="s">
        <v>64</v>
      </c>
      <c r="B16" s="8" t="s">
        <v>87</v>
      </c>
      <c r="C16" s="8" t="s">
        <v>84</v>
      </c>
      <c r="D16" s="8" t="s">
        <v>85</v>
      </c>
      <c r="E16" s="8" t="s">
        <v>99</v>
      </c>
      <c r="F16" s="8" t="str">
        <f>IF(E$13&lt;2,"nvt",IF(E$14="NIETS INGEVULD","NIETS INGEVULD","EQUANS BA"))</f>
        <v>nvt</v>
      </c>
      <c r="G16" s="8" t="str">
        <f>IF(D$13&lt;2,"nvt",IF(D$14="NIETS INGEVULD","NIETS INGEVULD","EQUANS BA"))</f>
        <v>nvt</v>
      </c>
    </row>
    <row r="17" spans="1:11">
      <c r="B17" s="8" t="s">
        <v>88</v>
      </c>
      <c r="C17" s="8" t="s">
        <v>232</v>
      </c>
      <c r="D17" s="8" t="s">
        <v>47</v>
      </c>
      <c r="E17" s="8" t="s">
        <v>97</v>
      </c>
      <c r="F17" s="8" t="str">
        <f>IF(E$13&lt;2,"",IF(E$14="NIETS INGEVULD","NIETS INGEVULD","EQUANS Digital"))</f>
        <v/>
      </c>
      <c r="G17" s="8" t="str">
        <f>IF(D$13&lt;2,"",IF(D$14="NIETS INGEVULD","NIETS INGEVULD","EQUANS Data"))</f>
        <v/>
      </c>
    </row>
    <row r="18" spans="1:11">
      <c r="B18" s="8" t="s">
        <v>89</v>
      </c>
      <c r="C18" s="8" t="s">
        <v>230</v>
      </c>
      <c r="D18" s="8" t="s">
        <v>48</v>
      </c>
      <c r="E18" s="8" t="s">
        <v>98</v>
      </c>
      <c r="F18" t="str">
        <f>IF(E$13&lt;2,"",IF(E$14="NIETS INGEVULD","NIETS INGEVULD",Gegevens!$B$3&amp;" en EQUANS BA"))</f>
        <v/>
      </c>
      <c r="G18" t="str">
        <f>IF(D$13&lt;2,"",IF(D$14="NIETS INGEVULD","NIETS INGEVULD",Gegevens!$B$3&amp;" en EQUANS BA"))</f>
        <v/>
      </c>
    </row>
    <row r="19" spans="1:11">
      <c r="B19" s="8" t="s">
        <v>90</v>
      </c>
      <c r="C19" s="8" t="s">
        <v>231</v>
      </c>
      <c r="D19" s="8"/>
      <c r="E19" s="8" t="str">
        <f>"middels een connectie met het ICT netwerk van "&amp;Gegevens!$B$3</f>
        <v>middels een connectie met het ICT netwerk van INVULLEN</v>
      </c>
      <c r="F19" t="str">
        <f>IF(E$13&lt;2,"",IF(E$14="NIETS INGEVULD","NIETS INGEVULD",Gegevens!$B$3&amp;" zelf"))</f>
        <v/>
      </c>
      <c r="G19" t="str">
        <f>IF(D$13&lt;2,"",IF(D$14="NIETS INGEVULD","NIETS INGEVULD",Gegevens!$B$3&amp;" zelf"))</f>
        <v/>
      </c>
    </row>
    <row r="20" spans="1:11">
      <c r="B20" s="8" t="s">
        <v>91</v>
      </c>
      <c r="C20" s="8"/>
    </row>
    <row r="21" spans="1:11">
      <c r="B21" s="8"/>
      <c r="C21" s="8"/>
      <c r="E21" s="8"/>
      <c r="F21" s="8"/>
      <c r="G21" s="8"/>
      <c r="J21" s="8"/>
      <c r="K21" s="8"/>
    </row>
    <row r="22" spans="1:11">
      <c r="B22" s="8"/>
      <c r="C22" s="8"/>
      <c r="E22" s="8"/>
      <c r="F22" s="8"/>
      <c r="G22" s="8"/>
      <c r="J22" s="8"/>
      <c r="K22" s="8"/>
    </row>
    <row r="23" spans="1:11" ht="90" customHeight="1">
      <c r="A23" t="s">
        <v>62</v>
      </c>
      <c r="B23" s="14" t="str">
        <f>Gegevens!A42</f>
        <v>Merk regelinstallatie</v>
      </c>
      <c r="C23" s="14" t="str">
        <f>Gegevens!A43</f>
        <v>Type regelinstallatie</v>
      </c>
      <c r="D23" s="14" t="s">
        <v>73</v>
      </c>
      <c r="E23" s="14" t="str">
        <f>Gegevens!A52</f>
        <v>Naregelingen op het GBS aangesloten</v>
      </c>
      <c r="F23" s="14" t="str">
        <f>Gegevens!A53</f>
        <v>Type naregelingen</v>
      </c>
      <c r="G23" s="8"/>
      <c r="H23" s="8"/>
    </row>
    <row r="24" spans="1:11">
      <c r="A24" t="s">
        <v>60</v>
      </c>
      <c r="B24" s="18"/>
      <c r="C24" s="18"/>
      <c r="D24" s="18"/>
      <c r="E24" s="18"/>
      <c r="F24" s="18"/>
    </row>
    <row r="25" spans="1:11">
      <c r="B25" s="18" t="str" cm="1">
        <f t="array" ref="B25">_xlfn.IFS(B24="","NIETS INGEVULD",B24=1,B27,B24=2,B28,B24=3,B29,B24=4,B30,B24=5,B31)</f>
        <v>NIETS INGEVULD</v>
      </c>
      <c r="C25" s="18" t="str" cm="1">
        <f t="array" ref="C25">_xlfn.IFS(C24="","NIETS INGEVULD",C24=1,C27,C24=2,C28,C24=3,C29,C24=4,C30,C24=5,C31)</f>
        <v>NIETS INGEVULD</v>
      </c>
      <c r="D25" s="18" t="str" cm="1">
        <f t="array" ref="D25">_xlfn.IFS(D24="","NIETS INGEVULD",D24=1,D27,D24=2,D28,D24=3,D29,D24=4,D30,D24=5,D31)</f>
        <v>NIETS INGEVULD</v>
      </c>
      <c r="E25" s="18" t="str" cm="1">
        <f t="array" ref="E25">_xlfn.IFS(E24="","NIETS INGEVULD",E24=1,E27,E24=2,E28,E24=3,E29,E24=4,E30,E24=5,E31,E24=6,E32)</f>
        <v>NIETS INGEVULD</v>
      </c>
      <c r="F25" s="18" t="str" cm="1">
        <f t="array" ref="F25">_xlfn.IFS(F24="","NIETS INGEVULD",F24=1,F27,F24=2,F28,F24=3,F29,F24=4,F30,F24=5,F31)</f>
        <v>NIETS INGEVULD</v>
      </c>
      <c r="G25" s="8"/>
      <c r="H25" s="8"/>
    </row>
    <row r="26" spans="1:11">
      <c r="B26" s="8"/>
      <c r="C26" s="8"/>
      <c r="E26" s="8"/>
      <c r="F26" s="8"/>
      <c r="G26" s="8"/>
      <c r="H26" s="8"/>
    </row>
    <row r="27" spans="1:11">
      <c r="A27" t="s">
        <v>64</v>
      </c>
      <c r="B27" s="8" t="s">
        <v>53</v>
      </c>
      <c r="C27" s="8" t="str">
        <f>IF(B24=1,"Ecostruxure Building Operation","Blue ID")</f>
        <v>Blue ID</v>
      </c>
      <c r="D27" t="b">
        <f>IF(B24=1,IF(C24=1,"SmartX AS-P","B3xxx serie"),IF(B24=2,IF(C24=1,"S10","HX8E")))</f>
        <v>0</v>
      </c>
      <c r="E27" s="8" t="s">
        <v>86</v>
      </c>
      <c r="F27" s="8" t="str">
        <f>IF(E24&lt;2,"nvt",IF(B24=1,"B3 serie","Comforte1"))</f>
        <v>nvt</v>
      </c>
      <c r="G27" s="8"/>
      <c r="H27" s="8"/>
    </row>
    <row r="28" spans="1:11">
      <c r="B28" s="8" t="s">
        <v>54</v>
      </c>
      <c r="C28" s="8" t="str">
        <f>IF(B24=1,"Andover Controls","HX")</f>
        <v>HX</v>
      </c>
      <c r="D28" t="b">
        <f>IF(B24=1,IF(C24=1,"SmartX AS-B","I2xxx serie"),IF(B24=2,IF(C24=1,"C4","HX6")))</f>
        <v>0</v>
      </c>
      <c r="E28" s="8" t="s">
        <v>100</v>
      </c>
      <c r="F28" s="8" t="str">
        <f>IF(E24&lt;2,"",IF(B24=1,"RP-C serie","Comforte2"))</f>
        <v/>
      </c>
    </row>
    <row r="29" spans="1:11">
      <c r="B29" s="8"/>
      <c r="E29" s="8" t="s">
        <v>101</v>
      </c>
      <c r="F29" s="8" t="str">
        <f>IF(E24&lt;2,"",IF(B24=1,"MP-C serie","6-wegventielen"))</f>
        <v/>
      </c>
    </row>
    <row r="30" spans="1:11">
      <c r="B30" s="8"/>
      <c r="E30" s="8" t="s">
        <v>102</v>
      </c>
      <c r="F30" s="8" t="str">
        <f>IF(E24&lt;2,"",IF(B24=1,"6-wegventielen",""))</f>
        <v/>
      </c>
    </row>
    <row r="31" spans="1:11">
      <c r="B31" s="8"/>
      <c r="E31" s="8" t="s">
        <v>103</v>
      </c>
      <c r="F31" s="8" t="str">
        <f>IF(E24&lt;2,"","diverse")</f>
        <v/>
      </c>
    </row>
    <row r="32" spans="1:11">
      <c r="B32" s="8"/>
      <c r="E32" s="8" t="s">
        <v>210</v>
      </c>
    </row>
    <row r="33" spans="1:5">
      <c r="B33" s="8"/>
    </row>
    <row r="34" spans="1:5" ht="84" customHeight="1">
      <c r="A34" t="s">
        <v>63</v>
      </c>
      <c r="B34" s="14" t="str">
        <f>Gegevens!A59</f>
        <v>Hoofd gasmeter uitgelezen op GBS</v>
      </c>
      <c r="C34" s="14" t="str">
        <f>Gegevens!A60</f>
        <v>Hoofd elektrameter uitgelezen op GBS</v>
      </c>
      <c r="D34" s="14" t="str">
        <f>Gegevens!A61</f>
        <v>Warmte wordt opgewekt middels</v>
      </c>
      <c r="E34" s="14" t="str">
        <f>Gegevens!A62</f>
        <v>Koude wordt opgewekt middels</v>
      </c>
    </row>
    <row r="35" spans="1:5">
      <c r="A35" t="s">
        <v>60</v>
      </c>
      <c r="B35" s="18"/>
      <c r="C35" s="18"/>
      <c r="D35" s="18"/>
      <c r="E35" s="18"/>
    </row>
    <row r="36" spans="1:5">
      <c r="B36" s="18" t="str" cm="1">
        <f t="array" ref="B36">_xlfn.IFS(B35="","NIETS INGEVULD",B35=1,B38,B35=2,B39,B35=3,B40,B35=4,B41,B35=5,B42)</f>
        <v>NIETS INGEVULD</v>
      </c>
      <c r="C36" s="18" t="str" cm="1">
        <f t="array" ref="C36">_xlfn.IFS(C35="","NIETS INGEVULD",C35=1,C38,C35=2,C39,C35=3,C40,C35=4,C41,C35=5,C42)</f>
        <v>NIETS INGEVULD</v>
      </c>
      <c r="D36" s="18" t="str" cm="1">
        <f t="array" ref="D36">_xlfn.IFS(D35="","NIETS INGEVULD",D35=1,D38,D35=2,D39,D35=3,D40,D35=4,D41,D35=5,D42)</f>
        <v>NIETS INGEVULD</v>
      </c>
      <c r="E36" s="18" t="str" cm="1">
        <f t="array" ref="E36">_xlfn.IFS(E35="","NIETS INGEVULD",E35=1,E38,E35=2,E39,E35=3,E40,E35=4,E41,E35=5,E42)</f>
        <v>NIETS INGEVULD</v>
      </c>
    </row>
    <row r="38" spans="1:5">
      <c r="A38" t="s">
        <v>64</v>
      </c>
      <c r="B38" t="s">
        <v>34</v>
      </c>
      <c r="C38" t="s">
        <v>34</v>
      </c>
      <c r="D38" t="s">
        <v>106</v>
      </c>
      <c r="E38" t="s">
        <v>106</v>
      </c>
    </row>
    <row r="39" spans="1:5">
      <c r="B39" t="s">
        <v>35</v>
      </c>
      <c r="C39" t="s">
        <v>35</v>
      </c>
      <c r="D39" t="s">
        <v>41</v>
      </c>
      <c r="E39" t="s">
        <v>44</v>
      </c>
    </row>
    <row r="40" spans="1:5">
      <c r="D40" t="s">
        <v>42</v>
      </c>
      <c r="E40" t="s">
        <v>42</v>
      </c>
    </row>
    <row r="41" spans="1:5">
      <c r="D41" t="s">
        <v>43</v>
      </c>
      <c r="E41" t="s">
        <v>43</v>
      </c>
    </row>
    <row r="42" spans="1:5">
      <c r="D42" t="s">
        <v>49</v>
      </c>
      <c r="E42" t="s">
        <v>49</v>
      </c>
    </row>
    <row r="45" spans="1:5" ht="84" customHeight="1">
      <c r="A45" t="s">
        <v>178</v>
      </c>
      <c r="B45" s="14" t="s">
        <v>180</v>
      </c>
      <c r="C45" s="14"/>
      <c r="D45" s="14"/>
      <c r="E45" s="14"/>
    </row>
    <row r="46" spans="1:5">
      <c r="B46" s="18"/>
      <c r="C46" s="18"/>
      <c r="D46" s="8"/>
      <c r="E46" s="8"/>
    </row>
    <row r="47" spans="1:5">
      <c r="A47" t="s">
        <v>64</v>
      </c>
      <c r="B47" t="s">
        <v>110</v>
      </c>
    </row>
    <row r="48" spans="1:5">
      <c r="B48" t="s">
        <v>119</v>
      </c>
    </row>
    <row r="49" spans="2:2">
      <c r="B49" t="s">
        <v>179</v>
      </c>
    </row>
  </sheetData>
  <sheetProtection selectLockedCells="1"/>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D5BEF-E953-49E7-B6E1-5A0B57874D3B}">
  <sheetPr codeName="Blad7"/>
  <dimension ref="A1:L65"/>
  <sheetViews>
    <sheetView zoomScaleNormal="100" workbookViewId="0"/>
  </sheetViews>
  <sheetFormatPr defaultRowHeight="12.75"/>
  <cols>
    <col min="1" max="1" width="5.140625" style="64" customWidth="1"/>
    <col min="2" max="4" width="9.140625" style="64"/>
    <col min="5" max="5" width="23.140625" style="64" customWidth="1"/>
    <col min="6" max="7" width="9.140625" style="64"/>
    <col min="8" max="8" width="9.140625" style="64" customWidth="1"/>
    <col min="9" max="9" width="3.7109375" style="64" customWidth="1"/>
    <col min="10" max="16384" width="9.140625" style="64"/>
  </cols>
  <sheetData>
    <row r="1" spans="1:12" s="78" customFormat="1">
      <c r="J1" s="79"/>
      <c r="K1" s="83"/>
      <c r="L1" s="79"/>
    </row>
    <row r="2" spans="1:12">
      <c r="B2" s="102" t="s">
        <v>143</v>
      </c>
      <c r="C2" s="102"/>
      <c r="D2" s="102"/>
      <c r="E2" s="102"/>
      <c r="F2" s="102"/>
      <c r="G2" s="102"/>
      <c r="H2" s="102"/>
      <c r="J2" s="65"/>
      <c r="K2" s="65"/>
      <c r="L2" s="65"/>
    </row>
    <row r="3" spans="1:12">
      <c r="B3" s="102"/>
      <c r="C3" s="102"/>
      <c r="D3" s="102"/>
      <c r="E3" s="102"/>
      <c r="F3" s="102"/>
      <c r="G3" s="102"/>
      <c r="H3" s="102"/>
      <c r="J3" s="65"/>
      <c r="K3" s="66"/>
      <c r="L3" s="65"/>
    </row>
    <row r="4" spans="1:12">
      <c r="B4" s="102"/>
      <c r="C4" s="102"/>
      <c r="D4" s="102"/>
      <c r="E4" s="102"/>
      <c r="F4" s="102"/>
      <c r="G4" s="102"/>
      <c r="H4" s="102"/>
      <c r="J4" s="65"/>
      <c r="K4" s="66"/>
      <c r="L4" s="65"/>
    </row>
    <row r="5" spans="1:12">
      <c r="B5" s="102"/>
      <c r="C5" s="102"/>
      <c r="D5" s="102"/>
      <c r="E5" s="102"/>
      <c r="F5" s="102"/>
      <c r="G5" s="102"/>
      <c r="H5" s="102"/>
      <c r="J5" s="65"/>
      <c r="K5" s="66"/>
      <c r="L5" s="65"/>
    </row>
    <row r="6" spans="1:12">
      <c r="B6" s="102"/>
      <c r="C6" s="102"/>
      <c r="D6" s="102"/>
      <c r="E6" s="102"/>
      <c r="F6" s="102"/>
      <c r="G6" s="102"/>
      <c r="H6" s="102"/>
      <c r="J6" s="65"/>
      <c r="K6" s="65"/>
      <c r="L6" s="65"/>
    </row>
    <row r="7" spans="1:12">
      <c r="B7" s="102"/>
      <c r="C7" s="102"/>
      <c r="D7" s="102"/>
      <c r="E7" s="102"/>
      <c r="F7" s="102"/>
      <c r="G7" s="102"/>
      <c r="H7" s="102"/>
      <c r="J7" s="65"/>
      <c r="K7" s="65"/>
      <c r="L7" s="65"/>
    </row>
    <row r="8" spans="1:12">
      <c r="B8" s="102" t="s">
        <v>134</v>
      </c>
      <c r="C8" s="102"/>
      <c r="D8" s="102"/>
      <c r="E8" s="102"/>
      <c r="F8" s="102"/>
      <c r="G8" s="102"/>
      <c r="H8" s="102"/>
      <c r="J8" s="65"/>
      <c r="K8" s="65"/>
      <c r="L8" s="65"/>
    </row>
    <row r="9" spans="1:12">
      <c r="B9" s="67"/>
      <c r="C9" s="67"/>
      <c r="D9" s="67"/>
      <c r="E9" s="67"/>
      <c r="F9" s="67"/>
      <c r="G9" s="67"/>
      <c r="H9" s="67"/>
      <c r="J9" s="65"/>
      <c r="K9" s="65"/>
      <c r="L9" s="65"/>
    </row>
    <row r="10" spans="1:12">
      <c r="A10" s="68" t="s">
        <v>120</v>
      </c>
      <c r="B10" s="69" t="s">
        <v>125</v>
      </c>
      <c r="D10" s="69"/>
      <c r="E10" s="69"/>
      <c r="F10" s="69" t="s">
        <v>124</v>
      </c>
      <c r="G10" s="69"/>
      <c r="H10" s="70" t="s">
        <v>123</v>
      </c>
      <c r="J10" s="65"/>
      <c r="K10" s="65"/>
      <c r="L10" s="65"/>
    </row>
    <row r="11" spans="1:12">
      <c r="A11" s="71">
        <v>0</v>
      </c>
      <c r="B11" s="72" t="s">
        <v>206</v>
      </c>
      <c r="D11" s="69"/>
      <c r="E11" s="69"/>
      <c r="F11" s="64" t="s">
        <v>121</v>
      </c>
      <c r="H11" s="64" t="s">
        <v>129</v>
      </c>
      <c r="J11" s="65"/>
      <c r="K11" s="65"/>
      <c r="L11" s="65"/>
    </row>
    <row r="12" spans="1:12">
      <c r="A12" s="64">
        <v>1</v>
      </c>
      <c r="B12" s="64" t="s">
        <v>122</v>
      </c>
      <c r="F12" s="64" t="s">
        <v>121</v>
      </c>
      <c r="H12" s="64" t="s">
        <v>129</v>
      </c>
      <c r="J12" s="65"/>
      <c r="K12" s="65"/>
      <c r="L12" s="65"/>
    </row>
    <row r="13" spans="1:12">
      <c r="A13" s="73">
        <v>2</v>
      </c>
      <c r="B13" s="64" t="s">
        <v>126</v>
      </c>
      <c r="F13" s="64" t="s">
        <v>127</v>
      </c>
      <c r="H13" s="64" t="s">
        <v>128</v>
      </c>
      <c r="J13" s="65"/>
      <c r="K13" s="65"/>
      <c r="L13" s="65"/>
    </row>
    <row r="14" spans="1:12">
      <c r="A14" s="64">
        <v>3</v>
      </c>
      <c r="B14" s="64" t="s">
        <v>130</v>
      </c>
      <c r="F14" s="64" t="s">
        <v>121</v>
      </c>
      <c r="H14" s="64" t="s">
        <v>129</v>
      </c>
      <c r="J14" s="65"/>
      <c r="K14" s="65"/>
      <c r="L14" s="65"/>
    </row>
    <row r="15" spans="1:12">
      <c r="J15" s="65"/>
      <c r="K15" s="65"/>
      <c r="L15" s="65"/>
    </row>
    <row r="16" spans="1:12">
      <c r="B16" s="69" t="s">
        <v>131</v>
      </c>
      <c r="J16" s="65"/>
      <c r="K16" s="65"/>
      <c r="L16" s="65"/>
    </row>
    <row r="17" spans="2:12" ht="12.75" customHeight="1">
      <c r="B17" s="102" t="s">
        <v>139</v>
      </c>
      <c r="C17" s="102"/>
      <c r="D17" s="102"/>
      <c r="E17" s="102"/>
      <c r="F17" s="102"/>
      <c r="G17" s="102"/>
      <c r="H17" s="102"/>
      <c r="J17" s="65"/>
      <c r="K17" s="65"/>
      <c r="L17" s="65"/>
    </row>
    <row r="18" spans="2:12">
      <c r="B18" s="102"/>
      <c r="C18" s="102"/>
      <c r="D18" s="102"/>
      <c r="E18" s="102"/>
      <c r="F18" s="102"/>
      <c r="G18" s="102"/>
      <c r="H18" s="102"/>
      <c r="J18" s="65"/>
      <c r="K18" s="65"/>
      <c r="L18" s="65"/>
    </row>
    <row r="19" spans="2:12">
      <c r="B19" s="102"/>
      <c r="C19" s="102"/>
      <c r="D19" s="102"/>
      <c r="E19" s="102"/>
      <c r="F19" s="102"/>
      <c r="G19" s="102"/>
      <c r="H19" s="102"/>
      <c r="J19" s="65"/>
      <c r="K19" s="65"/>
      <c r="L19" s="65"/>
    </row>
    <row r="20" spans="2:12">
      <c r="B20" s="102"/>
      <c r="C20" s="102"/>
      <c r="D20" s="102"/>
      <c r="E20" s="102"/>
      <c r="F20" s="102"/>
      <c r="G20" s="102"/>
      <c r="H20" s="102"/>
      <c r="J20" s="65"/>
      <c r="K20" s="65"/>
      <c r="L20" s="65"/>
    </row>
    <row r="21" spans="2:12">
      <c r="B21" s="102"/>
      <c r="C21" s="102"/>
      <c r="D21" s="102"/>
      <c r="E21" s="102"/>
      <c r="F21" s="102"/>
      <c r="G21" s="102"/>
      <c r="H21" s="102"/>
      <c r="J21" s="65"/>
      <c r="K21" s="65"/>
      <c r="L21" s="65"/>
    </row>
    <row r="22" spans="2:12">
      <c r="B22" s="67"/>
      <c r="C22" s="67"/>
      <c r="D22" s="67"/>
      <c r="E22" s="67"/>
      <c r="F22" s="67"/>
      <c r="G22" s="67"/>
      <c r="H22" s="67"/>
      <c r="J22" s="65"/>
      <c r="K22" s="65"/>
      <c r="L22" s="65"/>
    </row>
    <row r="23" spans="2:12">
      <c r="B23" s="74" t="s">
        <v>133</v>
      </c>
      <c r="C23" s="75"/>
      <c r="D23" s="75"/>
      <c r="E23" s="75"/>
      <c r="F23" s="75"/>
      <c r="G23" s="75"/>
      <c r="H23" s="75"/>
      <c r="J23" s="65"/>
      <c r="K23" s="65"/>
      <c r="L23" s="65"/>
    </row>
    <row r="24" spans="2:12" ht="12.75" customHeight="1">
      <c r="B24" s="103" t="s">
        <v>176</v>
      </c>
      <c r="C24" s="103"/>
      <c r="D24" s="103"/>
      <c r="E24" s="103"/>
      <c r="F24" s="103"/>
      <c r="G24" s="103"/>
      <c r="H24" s="103"/>
      <c r="J24" s="65"/>
      <c r="K24" s="65"/>
      <c r="L24" s="65"/>
    </row>
    <row r="25" spans="2:12">
      <c r="B25" s="103"/>
      <c r="C25" s="103"/>
      <c r="D25" s="103"/>
      <c r="E25" s="103"/>
      <c r="F25" s="103"/>
      <c r="G25" s="103"/>
      <c r="H25" s="103"/>
      <c r="J25" s="65"/>
      <c r="K25" s="65"/>
      <c r="L25" s="65"/>
    </row>
    <row r="26" spans="2:12">
      <c r="B26" s="103"/>
      <c r="C26" s="103"/>
      <c r="D26" s="103"/>
      <c r="E26" s="103"/>
      <c r="F26" s="103"/>
      <c r="G26" s="103"/>
      <c r="H26" s="103"/>
      <c r="J26" s="65"/>
      <c r="K26" s="65"/>
      <c r="L26" s="65"/>
    </row>
    <row r="27" spans="2:12">
      <c r="B27" s="103"/>
      <c r="C27" s="103"/>
      <c r="D27" s="103"/>
      <c r="E27" s="103"/>
      <c r="F27" s="103"/>
      <c r="G27" s="103"/>
      <c r="H27" s="103"/>
      <c r="J27" s="65"/>
      <c r="K27" s="65"/>
      <c r="L27" s="65"/>
    </row>
    <row r="28" spans="2:12">
      <c r="B28" s="103"/>
      <c r="C28" s="103"/>
      <c r="D28" s="103"/>
      <c r="E28" s="103"/>
      <c r="F28" s="103"/>
      <c r="G28" s="103"/>
      <c r="H28" s="103"/>
      <c r="J28" s="65"/>
      <c r="K28" s="65"/>
      <c r="L28" s="65"/>
    </row>
    <row r="29" spans="2:12" ht="12.75" customHeight="1">
      <c r="B29" s="102" t="s">
        <v>177</v>
      </c>
      <c r="C29" s="102"/>
      <c r="D29" s="102"/>
      <c r="E29" s="102"/>
      <c r="F29" s="102"/>
      <c r="G29" s="102"/>
      <c r="H29" s="102"/>
      <c r="J29" s="65"/>
      <c r="K29" s="65"/>
      <c r="L29" s="65"/>
    </row>
    <row r="30" spans="2:12">
      <c r="B30" s="102"/>
      <c r="C30" s="102"/>
      <c r="D30" s="102"/>
      <c r="E30" s="102"/>
      <c r="F30" s="102"/>
      <c r="G30" s="102"/>
      <c r="H30" s="102"/>
      <c r="J30" s="65"/>
      <c r="K30" s="65"/>
      <c r="L30" s="65"/>
    </row>
    <row r="31" spans="2:12">
      <c r="B31" s="102"/>
      <c r="C31" s="102"/>
      <c r="D31" s="102"/>
      <c r="E31" s="102"/>
      <c r="F31" s="102"/>
      <c r="G31" s="102"/>
      <c r="H31" s="102"/>
      <c r="J31" s="65"/>
      <c r="K31" s="65"/>
      <c r="L31" s="65"/>
    </row>
    <row r="32" spans="2:12">
      <c r="B32" s="102"/>
      <c r="C32" s="102"/>
      <c r="D32" s="102"/>
      <c r="E32" s="102"/>
      <c r="F32" s="102"/>
      <c r="G32" s="102"/>
      <c r="H32" s="102"/>
      <c r="J32" s="65"/>
      <c r="K32" s="65"/>
      <c r="L32" s="65"/>
    </row>
    <row r="33" spans="2:12">
      <c r="B33" s="102"/>
      <c r="C33" s="102"/>
      <c r="D33" s="102"/>
      <c r="E33" s="102"/>
      <c r="F33" s="102"/>
      <c r="G33" s="102"/>
      <c r="H33" s="102"/>
      <c r="J33" s="65"/>
      <c r="K33" s="65"/>
      <c r="L33" s="65"/>
    </row>
    <row r="34" spans="2:12">
      <c r="B34" s="102"/>
      <c r="C34" s="102"/>
      <c r="D34" s="102"/>
      <c r="E34" s="102"/>
      <c r="F34" s="102"/>
      <c r="G34" s="102"/>
      <c r="H34" s="102"/>
      <c r="J34" s="65"/>
      <c r="K34" s="65"/>
      <c r="L34" s="65"/>
    </row>
    <row r="35" spans="2:12">
      <c r="B35" s="102"/>
      <c r="C35" s="102"/>
      <c r="D35" s="102"/>
      <c r="E35" s="102"/>
      <c r="F35" s="102"/>
      <c r="G35" s="102"/>
      <c r="H35" s="102"/>
      <c r="J35" s="65"/>
      <c r="K35" s="65"/>
      <c r="L35" s="65"/>
    </row>
    <row r="36" spans="2:12">
      <c r="B36" s="102"/>
      <c r="C36" s="102"/>
      <c r="D36" s="102"/>
      <c r="E36" s="102"/>
      <c r="F36" s="102"/>
      <c r="G36" s="102"/>
      <c r="H36" s="102"/>
      <c r="J36" s="65"/>
      <c r="K36" s="65"/>
      <c r="L36" s="65"/>
    </row>
    <row r="37" spans="2:12">
      <c r="B37" s="102"/>
      <c r="C37" s="102"/>
      <c r="D37" s="102"/>
      <c r="E37" s="102"/>
      <c r="F37" s="102"/>
      <c r="G37" s="102"/>
      <c r="H37" s="102"/>
      <c r="J37" s="65"/>
      <c r="K37" s="65"/>
      <c r="L37" s="65"/>
    </row>
    <row r="38" spans="2:12" ht="12.75" customHeight="1">
      <c r="B38" s="102" t="s">
        <v>138</v>
      </c>
      <c r="C38" s="102"/>
      <c r="D38" s="102"/>
      <c r="E38" s="102"/>
      <c r="F38" s="102"/>
      <c r="G38" s="102"/>
      <c r="H38" s="102"/>
    </row>
    <row r="39" spans="2:12">
      <c r="B39" s="102"/>
      <c r="C39" s="102"/>
      <c r="D39" s="102"/>
      <c r="E39" s="102"/>
      <c r="F39" s="102"/>
      <c r="G39" s="102"/>
      <c r="H39" s="102"/>
    </row>
    <row r="40" spans="2:12">
      <c r="B40" s="102"/>
      <c r="C40" s="102"/>
      <c r="D40" s="102"/>
      <c r="E40" s="102"/>
      <c r="F40" s="102"/>
      <c r="G40" s="102"/>
      <c r="H40" s="102"/>
    </row>
    <row r="41" spans="2:12">
      <c r="B41" s="102"/>
      <c r="C41" s="102"/>
      <c r="D41" s="102"/>
      <c r="E41" s="102"/>
      <c r="F41" s="102"/>
      <c r="G41" s="102"/>
      <c r="H41" s="102"/>
    </row>
    <row r="43" spans="2:12">
      <c r="B43" s="69" t="s">
        <v>175</v>
      </c>
    </row>
    <row r="44" spans="2:12" ht="12.75" customHeight="1">
      <c r="B44" s="102" t="s">
        <v>174</v>
      </c>
      <c r="C44" s="102"/>
      <c r="D44" s="102"/>
      <c r="E44" s="102"/>
      <c r="F44" s="102"/>
      <c r="G44" s="102"/>
      <c r="H44" s="102"/>
    </row>
    <row r="45" spans="2:12">
      <c r="B45" s="102"/>
      <c r="C45" s="102"/>
      <c r="D45" s="102"/>
      <c r="E45" s="102"/>
      <c r="F45" s="102"/>
      <c r="G45" s="102"/>
      <c r="H45" s="102"/>
    </row>
    <row r="46" spans="2:12">
      <c r="B46" s="102"/>
      <c r="C46" s="102"/>
      <c r="D46" s="102"/>
      <c r="E46" s="102"/>
      <c r="F46" s="102"/>
      <c r="G46" s="102"/>
      <c r="H46" s="102"/>
    </row>
    <row r="47" spans="2:12">
      <c r="B47" s="102"/>
      <c r="C47" s="102"/>
      <c r="D47" s="102"/>
      <c r="E47" s="102"/>
      <c r="F47" s="102"/>
      <c r="G47" s="102"/>
      <c r="H47" s="102"/>
    </row>
    <row r="48" spans="2:12" ht="12.75" customHeight="1">
      <c r="B48" s="102" t="s">
        <v>144</v>
      </c>
      <c r="C48" s="102"/>
      <c r="D48" s="102"/>
      <c r="E48" s="102"/>
      <c r="F48" s="102"/>
      <c r="G48" s="102"/>
      <c r="H48" s="102"/>
    </row>
    <row r="49" spans="2:8">
      <c r="B49" s="102"/>
      <c r="C49" s="102"/>
      <c r="D49" s="102"/>
      <c r="E49" s="102"/>
      <c r="F49" s="102"/>
      <c r="G49" s="102"/>
      <c r="H49" s="102"/>
    </row>
    <row r="50" spans="2:8">
      <c r="B50" s="102"/>
      <c r="C50" s="102"/>
      <c r="D50" s="102"/>
      <c r="E50" s="102"/>
      <c r="F50" s="102"/>
      <c r="G50" s="102"/>
      <c r="H50" s="102"/>
    </row>
    <row r="51" spans="2:8">
      <c r="B51" s="102"/>
      <c r="C51" s="102"/>
      <c r="D51" s="102"/>
      <c r="E51" s="102"/>
      <c r="F51" s="102"/>
      <c r="G51" s="102"/>
      <c r="H51" s="102"/>
    </row>
    <row r="52" spans="2:8">
      <c r="B52" s="102"/>
      <c r="C52" s="102"/>
      <c r="D52" s="102"/>
      <c r="E52" s="102"/>
      <c r="F52" s="102"/>
      <c r="G52" s="102"/>
      <c r="H52" s="102"/>
    </row>
    <row r="53" spans="2:8" ht="12.75" customHeight="1">
      <c r="B53" s="102" t="s">
        <v>142</v>
      </c>
      <c r="C53" s="102"/>
      <c r="D53" s="102"/>
      <c r="E53" s="102"/>
      <c r="F53" s="102"/>
      <c r="G53" s="102"/>
      <c r="H53" s="102"/>
    </row>
    <row r="54" spans="2:8">
      <c r="B54" s="102"/>
      <c r="C54" s="102"/>
      <c r="D54" s="102"/>
      <c r="E54" s="102"/>
      <c r="F54" s="102"/>
      <c r="G54" s="102"/>
      <c r="H54" s="102"/>
    </row>
    <row r="55" spans="2:8">
      <c r="B55" s="67"/>
      <c r="C55" s="67"/>
      <c r="D55" s="67"/>
      <c r="E55" s="67"/>
      <c r="F55" s="67"/>
      <c r="G55" s="67"/>
      <c r="H55" s="67"/>
    </row>
    <row r="56" spans="2:8">
      <c r="B56" s="67"/>
      <c r="C56" s="67"/>
      <c r="D56" s="67"/>
      <c r="E56" s="76" t="s">
        <v>135</v>
      </c>
      <c r="F56" s="67"/>
      <c r="G56" s="67"/>
      <c r="H56" s="67"/>
    </row>
    <row r="57" spans="2:8" ht="12.75" customHeight="1">
      <c r="B57" s="101" t="s">
        <v>136</v>
      </c>
      <c r="C57" s="101"/>
      <c r="D57" s="101"/>
      <c r="E57" s="101"/>
      <c r="F57" s="101"/>
      <c r="G57" s="101"/>
      <c r="H57" s="101"/>
    </row>
    <row r="58" spans="2:8">
      <c r="B58" s="101"/>
      <c r="C58" s="101"/>
      <c r="D58" s="101"/>
      <c r="E58" s="101"/>
      <c r="F58" s="101"/>
      <c r="G58" s="101"/>
      <c r="H58" s="101"/>
    </row>
    <row r="59" spans="2:8">
      <c r="B59" s="101"/>
      <c r="C59" s="101"/>
      <c r="D59" s="101"/>
      <c r="E59" s="101"/>
      <c r="F59" s="101"/>
      <c r="G59" s="101"/>
      <c r="H59" s="101"/>
    </row>
    <row r="63" spans="2:8">
      <c r="E63" s="77"/>
    </row>
    <row r="64" spans="2:8">
      <c r="C64" s="77"/>
    </row>
    <row r="65" spans="2:2">
      <c r="B65" s="69" t="s">
        <v>132</v>
      </c>
    </row>
  </sheetData>
  <sheetProtection algorithmName="SHA-512" hashValue="bRW2bFHPMX9JAywXCs6CmIUbaJpDPvg+09kacJyj3sWOjpdBrCi7wsVyP+Letwp14msaeKd8RDA0+A0hZZ1soA==" saltValue="/rwVlSLaV60jeaWzUybuXA==" spinCount="100000" sheet="1"/>
  <mergeCells count="10">
    <mergeCell ref="B57:H59"/>
    <mergeCell ref="B2:H7"/>
    <mergeCell ref="B8:H8"/>
    <mergeCell ref="B48:H52"/>
    <mergeCell ref="B29:H37"/>
    <mergeCell ref="B17:H21"/>
    <mergeCell ref="B38:H41"/>
    <mergeCell ref="B53:H54"/>
    <mergeCell ref="B24:H28"/>
    <mergeCell ref="B44:H47"/>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9460" r:id="rId3" name="Button 4">
              <controlPr defaultSize="0" print="0" autoFill="0" autoPict="0" macro="[0]!Genereer_OHrapport">
                <anchor moveWithCells="1" sizeWithCells="1">
                  <from>
                    <xdr:col>0</xdr:col>
                    <xdr:colOff>342900</xdr:colOff>
                    <xdr:row>59</xdr:row>
                    <xdr:rowOff>152400</xdr:rowOff>
                  </from>
                  <to>
                    <xdr:col>7</xdr:col>
                    <xdr:colOff>600075</xdr:colOff>
                    <xdr:row>61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8895E-8B59-47EC-A493-7EB4D3472679}">
  <sheetPr codeName="Blad2"/>
  <dimension ref="A1:G63"/>
  <sheetViews>
    <sheetView zoomScaleNormal="100" workbookViewId="0">
      <selection activeCell="B3" sqref="B3"/>
    </sheetView>
  </sheetViews>
  <sheetFormatPr defaultRowHeight="12.75"/>
  <cols>
    <col min="1" max="1" width="50.140625" style="64" customWidth="1"/>
    <col min="2" max="2" width="15.28515625" style="80" customWidth="1"/>
    <col min="3" max="16384" width="9.140625" style="64"/>
  </cols>
  <sheetData>
    <row r="1" spans="1:2">
      <c r="A1" s="72"/>
    </row>
    <row r="2" spans="1:2">
      <c r="A2" s="69" t="s">
        <v>30</v>
      </c>
    </row>
    <row r="3" spans="1:2" s="78" customFormat="1">
      <c r="A3" s="78" t="s">
        <v>28</v>
      </c>
      <c r="B3" s="82" t="s">
        <v>116</v>
      </c>
    </row>
    <row r="4" spans="1:2">
      <c r="A4" s="64" t="s">
        <v>29</v>
      </c>
      <c r="B4" s="81" t="s">
        <v>116</v>
      </c>
    </row>
    <row r="5" spans="1:2">
      <c r="A5" s="64" t="s">
        <v>16</v>
      </c>
      <c r="B5" s="81" t="s">
        <v>116</v>
      </c>
    </row>
    <row r="6" spans="1:2">
      <c r="A6" s="64" t="s">
        <v>188</v>
      </c>
      <c r="B6" s="81"/>
    </row>
    <row r="8" spans="1:2">
      <c r="A8" s="64" t="s">
        <v>50</v>
      </c>
      <c r="B8" s="81" t="s">
        <v>116</v>
      </c>
    </row>
    <row r="9" spans="1:2">
      <c r="A9" s="64" t="s">
        <v>24</v>
      </c>
      <c r="B9" s="81" t="s">
        <v>116</v>
      </c>
    </row>
    <row r="10" spans="1:2">
      <c r="A10" s="64" t="s">
        <v>25</v>
      </c>
      <c r="B10" s="81" t="s">
        <v>116</v>
      </c>
    </row>
    <row r="12" spans="1:2">
      <c r="A12" s="64" t="s">
        <v>26</v>
      </c>
      <c r="B12" s="81" t="s">
        <v>116</v>
      </c>
    </row>
    <row r="13" spans="1:2">
      <c r="A13" s="64" t="s">
        <v>24</v>
      </c>
      <c r="B13" s="81" t="s">
        <v>116</v>
      </c>
    </row>
    <row r="14" spans="1:2">
      <c r="A14" s="64" t="s">
        <v>25</v>
      </c>
      <c r="B14" s="81" t="s">
        <v>116</v>
      </c>
    </row>
    <row r="16" spans="1:2">
      <c r="A16" s="64" t="s">
        <v>10</v>
      </c>
      <c r="B16" s="81" t="s">
        <v>116</v>
      </c>
    </row>
    <row r="17" spans="1:7">
      <c r="A17" s="64" t="s">
        <v>208</v>
      </c>
    </row>
    <row r="18" spans="1:7">
      <c r="A18" s="64" t="s">
        <v>27</v>
      </c>
    </row>
    <row r="19" spans="1:7" ht="12.75" customHeight="1">
      <c r="A19" s="64" t="s">
        <v>59</v>
      </c>
      <c r="B19" s="102" t="e">
        <f>Inputblad!E4</f>
        <v>#N/A</v>
      </c>
      <c r="C19" s="102"/>
      <c r="D19" s="102"/>
      <c r="E19" s="102"/>
      <c r="F19" s="102"/>
      <c r="G19" s="102"/>
    </row>
    <row r="20" spans="1:7">
      <c r="B20" s="102"/>
      <c r="C20" s="102"/>
      <c r="D20" s="102"/>
      <c r="E20" s="102"/>
      <c r="F20" s="102"/>
      <c r="G20" s="102"/>
    </row>
    <row r="21" spans="1:7">
      <c r="B21" s="102"/>
      <c r="C21" s="102"/>
      <c r="D21" s="102"/>
      <c r="E21" s="102"/>
      <c r="F21" s="102"/>
      <c r="G21" s="102"/>
    </row>
    <row r="22" spans="1:7">
      <c r="B22" s="102"/>
      <c r="C22" s="102"/>
      <c r="D22" s="102"/>
      <c r="E22" s="102"/>
      <c r="F22" s="102"/>
      <c r="G22" s="102"/>
    </row>
    <row r="23" spans="1:7">
      <c r="B23" s="102"/>
      <c r="C23" s="102"/>
      <c r="D23" s="102"/>
      <c r="E23" s="102"/>
      <c r="F23" s="102"/>
      <c r="G23" s="102"/>
    </row>
    <row r="24" spans="1:7">
      <c r="B24" s="102"/>
      <c r="C24" s="102"/>
      <c r="D24" s="102"/>
      <c r="E24" s="102"/>
      <c r="F24" s="102"/>
      <c r="G24" s="102"/>
    </row>
    <row r="25" spans="1:7">
      <c r="B25" s="102"/>
      <c r="C25" s="102"/>
      <c r="D25" s="102"/>
      <c r="E25" s="102"/>
      <c r="F25" s="102"/>
      <c r="G25" s="102"/>
    </row>
    <row r="26" spans="1:7">
      <c r="B26" s="102"/>
      <c r="C26" s="102"/>
      <c r="D26" s="102"/>
      <c r="E26" s="102"/>
      <c r="F26" s="102"/>
      <c r="G26" s="102"/>
    </row>
    <row r="27" spans="1:7">
      <c r="B27" s="102"/>
      <c r="C27" s="102"/>
      <c r="D27" s="102"/>
      <c r="E27" s="102"/>
      <c r="F27" s="102"/>
      <c r="G27" s="102"/>
    </row>
    <row r="28" spans="1:7">
      <c r="B28" s="102"/>
      <c r="C28" s="102"/>
      <c r="D28" s="102"/>
      <c r="E28" s="102"/>
      <c r="F28" s="102"/>
      <c r="G28" s="102"/>
    </row>
    <row r="30" spans="1:7">
      <c r="A30" s="69" t="s">
        <v>32</v>
      </c>
    </row>
    <row r="31" spans="1:7">
      <c r="A31" s="64" t="s">
        <v>15</v>
      </c>
      <c r="B31" s="81" t="s">
        <v>116</v>
      </c>
    </row>
    <row r="32" spans="1:7">
      <c r="A32" s="64" t="s">
        <v>14</v>
      </c>
      <c r="B32" s="81" t="s">
        <v>116</v>
      </c>
    </row>
    <row r="33" spans="1:2">
      <c r="A33" s="64" t="s">
        <v>13</v>
      </c>
      <c r="B33" s="81" t="s">
        <v>116</v>
      </c>
    </row>
    <row r="36" spans="1:2">
      <c r="A36" s="69" t="s">
        <v>31</v>
      </c>
    </row>
    <row r="37" spans="1:2">
      <c r="A37" s="64" t="s">
        <v>234</v>
      </c>
    </row>
    <row r="38" spans="1:2">
      <c r="A38" s="64" t="s">
        <v>209</v>
      </c>
      <c r="B38" s="81" t="s">
        <v>116</v>
      </c>
    </row>
    <row r="41" spans="1:2">
      <c r="A41" s="69" t="s">
        <v>33</v>
      </c>
    </row>
    <row r="42" spans="1:2">
      <c r="A42" s="64" t="s">
        <v>51</v>
      </c>
    </row>
    <row r="43" spans="1:2">
      <c r="A43" s="64" t="s">
        <v>52</v>
      </c>
    </row>
    <row r="44" spans="1:2">
      <c r="A44" s="64" t="s">
        <v>57</v>
      </c>
      <c r="B44" s="81" t="s">
        <v>116</v>
      </c>
    </row>
    <row r="50" spans="1:2">
      <c r="A50" s="64" t="s">
        <v>55</v>
      </c>
      <c r="B50" s="81" t="s">
        <v>116</v>
      </c>
    </row>
    <row r="51" spans="1:2">
      <c r="A51" s="64" t="s">
        <v>56</v>
      </c>
      <c r="B51" s="81" t="s">
        <v>116</v>
      </c>
    </row>
    <row r="52" spans="1:2">
      <c r="A52" s="64" t="s">
        <v>38</v>
      </c>
    </row>
    <row r="53" spans="1:2">
      <c r="A53" s="64" t="s">
        <v>58</v>
      </c>
    </row>
    <row r="54" spans="1:2">
      <c r="A54" s="64" t="s">
        <v>46</v>
      </c>
      <c r="B54" s="81" t="s">
        <v>116</v>
      </c>
    </row>
    <row r="55" spans="1:2">
      <c r="A55" s="64" t="s">
        <v>45</v>
      </c>
      <c r="B55" s="81" t="s">
        <v>116</v>
      </c>
    </row>
    <row r="58" spans="1:2">
      <c r="A58" s="69" t="s">
        <v>108</v>
      </c>
    </row>
    <row r="59" spans="1:2">
      <c r="A59" s="64" t="s">
        <v>39</v>
      </c>
      <c r="B59" s="80">
        <v>1</v>
      </c>
    </row>
    <row r="60" spans="1:2">
      <c r="A60" s="64" t="s">
        <v>40</v>
      </c>
      <c r="B60" s="80">
        <v>1</v>
      </c>
    </row>
    <row r="61" spans="1:2">
      <c r="A61" s="64" t="s">
        <v>36</v>
      </c>
    </row>
    <row r="62" spans="1:2">
      <c r="A62" s="64" t="s">
        <v>37</v>
      </c>
    </row>
    <row r="63" spans="1:2">
      <c r="A63" s="64" t="s">
        <v>109</v>
      </c>
      <c r="B63" s="81" t="s">
        <v>116</v>
      </c>
    </row>
  </sheetData>
  <sheetProtection algorithmName="SHA-512" hashValue="ZpJyN5WJmbPpmcBxfOCCLPFngfk7h0i2+P6qhDWik+JDQhrpmfNT80zyZR+TVJBWGcCFOc7aYDvkz6wBsDM+cg==" saltValue="yh/A2pw7UI/YUPK0CdgZEQ==" spinCount="100000" sheet="1"/>
  <mergeCells count="1">
    <mergeCell ref="B19:G28"/>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 Down 1">
              <controlPr defaultSize="0" autoLine="0" autoPict="0">
                <anchor moveWithCells="1">
                  <from>
                    <xdr:col>1</xdr:col>
                    <xdr:colOff>19050</xdr:colOff>
                    <xdr:row>17</xdr:row>
                    <xdr:rowOff>19050</xdr:rowOff>
                  </from>
                  <to>
                    <xdr:col>1</xdr:col>
                    <xdr:colOff>962025</xdr:colOff>
                    <xdr:row>17</xdr:row>
                    <xdr:rowOff>152400</xdr:rowOff>
                  </to>
                </anchor>
              </controlPr>
            </control>
          </mc:Choice>
        </mc:AlternateContent>
        <mc:AlternateContent xmlns:mc="http://schemas.openxmlformats.org/markup-compatibility/2006">
          <mc:Choice Requires="x14">
            <control shapeId="4098" r:id="rId4" name="Drop Down 2">
              <controlPr defaultSize="0" autoLine="0" autoPict="0">
                <anchor moveWithCells="1">
                  <from>
                    <xdr:col>1</xdr:col>
                    <xdr:colOff>19050</xdr:colOff>
                    <xdr:row>16</xdr:row>
                    <xdr:rowOff>19050</xdr:rowOff>
                  </from>
                  <to>
                    <xdr:col>1</xdr:col>
                    <xdr:colOff>962025</xdr:colOff>
                    <xdr:row>16</xdr:row>
                    <xdr:rowOff>152400</xdr:rowOff>
                  </to>
                </anchor>
              </controlPr>
            </control>
          </mc:Choice>
        </mc:AlternateContent>
        <mc:AlternateContent xmlns:mc="http://schemas.openxmlformats.org/markup-compatibility/2006">
          <mc:Choice Requires="x14">
            <control shapeId="4099" r:id="rId5" name="Drop Down 3">
              <controlPr defaultSize="0" autoLine="0" autoPict="0">
                <anchor moveWithCells="1">
                  <from>
                    <xdr:col>1</xdr:col>
                    <xdr:colOff>19050</xdr:colOff>
                    <xdr:row>36</xdr:row>
                    <xdr:rowOff>19050</xdr:rowOff>
                  </from>
                  <to>
                    <xdr:col>1</xdr:col>
                    <xdr:colOff>962025</xdr:colOff>
                    <xdr:row>36</xdr:row>
                    <xdr:rowOff>152400</xdr:rowOff>
                  </to>
                </anchor>
              </controlPr>
            </control>
          </mc:Choice>
        </mc:AlternateContent>
        <mc:AlternateContent xmlns:mc="http://schemas.openxmlformats.org/markup-compatibility/2006">
          <mc:Choice Requires="x14">
            <control shapeId="4103" r:id="rId6" name="Drop Down 7">
              <controlPr defaultSize="0" autoLine="0" autoPict="0">
                <anchor moveWithCells="1">
                  <from>
                    <xdr:col>1</xdr:col>
                    <xdr:colOff>19050</xdr:colOff>
                    <xdr:row>58</xdr:row>
                    <xdr:rowOff>19050</xdr:rowOff>
                  </from>
                  <to>
                    <xdr:col>1</xdr:col>
                    <xdr:colOff>962025</xdr:colOff>
                    <xdr:row>58</xdr:row>
                    <xdr:rowOff>152400</xdr:rowOff>
                  </to>
                </anchor>
              </controlPr>
            </control>
          </mc:Choice>
        </mc:AlternateContent>
        <mc:AlternateContent xmlns:mc="http://schemas.openxmlformats.org/markup-compatibility/2006">
          <mc:Choice Requires="x14">
            <control shapeId="4105" r:id="rId7" name="Drop Down 9">
              <controlPr defaultSize="0" autoLine="0" autoPict="0">
                <anchor moveWithCells="1">
                  <from>
                    <xdr:col>1</xdr:col>
                    <xdr:colOff>19050</xdr:colOff>
                    <xdr:row>59</xdr:row>
                    <xdr:rowOff>19050</xdr:rowOff>
                  </from>
                  <to>
                    <xdr:col>1</xdr:col>
                    <xdr:colOff>962025</xdr:colOff>
                    <xdr:row>59</xdr:row>
                    <xdr:rowOff>152400</xdr:rowOff>
                  </to>
                </anchor>
              </controlPr>
            </control>
          </mc:Choice>
        </mc:AlternateContent>
        <mc:AlternateContent xmlns:mc="http://schemas.openxmlformats.org/markup-compatibility/2006">
          <mc:Choice Requires="x14">
            <control shapeId="4106" r:id="rId8" name="Drop Down 10">
              <controlPr defaultSize="0" autoLine="0" autoPict="0">
                <anchor moveWithCells="1">
                  <from>
                    <xdr:col>1</xdr:col>
                    <xdr:colOff>19050</xdr:colOff>
                    <xdr:row>51</xdr:row>
                    <xdr:rowOff>19050</xdr:rowOff>
                  </from>
                  <to>
                    <xdr:col>1</xdr:col>
                    <xdr:colOff>962025</xdr:colOff>
                    <xdr:row>51</xdr:row>
                    <xdr:rowOff>152400</xdr:rowOff>
                  </to>
                </anchor>
              </controlPr>
            </control>
          </mc:Choice>
        </mc:AlternateContent>
        <mc:AlternateContent xmlns:mc="http://schemas.openxmlformats.org/markup-compatibility/2006">
          <mc:Choice Requires="x14">
            <control shapeId="4108" r:id="rId9" name="Drop Down 12">
              <controlPr defaultSize="0" autoLine="0" autoPict="0">
                <anchor moveWithCells="1">
                  <from>
                    <xdr:col>1</xdr:col>
                    <xdr:colOff>19050</xdr:colOff>
                    <xdr:row>41</xdr:row>
                    <xdr:rowOff>19050</xdr:rowOff>
                  </from>
                  <to>
                    <xdr:col>1</xdr:col>
                    <xdr:colOff>962025</xdr:colOff>
                    <xdr:row>41</xdr:row>
                    <xdr:rowOff>152400</xdr:rowOff>
                  </to>
                </anchor>
              </controlPr>
            </control>
          </mc:Choice>
        </mc:AlternateContent>
        <mc:AlternateContent xmlns:mc="http://schemas.openxmlformats.org/markup-compatibility/2006">
          <mc:Choice Requires="x14">
            <control shapeId="4109" r:id="rId10" name="Drop Down 13">
              <controlPr defaultSize="0" autoLine="0" autoPict="0">
                <anchor moveWithCells="1">
                  <from>
                    <xdr:col>1</xdr:col>
                    <xdr:colOff>19050</xdr:colOff>
                    <xdr:row>42</xdr:row>
                    <xdr:rowOff>19050</xdr:rowOff>
                  </from>
                  <to>
                    <xdr:col>1</xdr:col>
                    <xdr:colOff>962025</xdr:colOff>
                    <xdr:row>42</xdr:row>
                    <xdr:rowOff>152400</xdr:rowOff>
                  </to>
                </anchor>
              </controlPr>
            </control>
          </mc:Choice>
        </mc:AlternateContent>
        <mc:AlternateContent xmlns:mc="http://schemas.openxmlformats.org/markup-compatibility/2006">
          <mc:Choice Requires="x14">
            <control shapeId="4110" r:id="rId11" name="Drop Down 14">
              <controlPr defaultSize="0" autoLine="0" autoPict="0">
                <anchor moveWithCells="1">
                  <from>
                    <xdr:col>1</xdr:col>
                    <xdr:colOff>19050</xdr:colOff>
                    <xdr:row>52</xdr:row>
                    <xdr:rowOff>19050</xdr:rowOff>
                  </from>
                  <to>
                    <xdr:col>1</xdr:col>
                    <xdr:colOff>962025</xdr:colOff>
                    <xdr:row>52</xdr:row>
                    <xdr:rowOff>152400</xdr:rowOff>
                  </to>
                </anchor>
              </controlPr>
            </control>
          </mc:Choice>
        </mc:AlternateContent>
        <mc:AlternateContent xmlns:mc="http://schemas.openxmlformats.org/markup-compatibility/2006">
          <mc:Choice Requires="x14">
            <control shapeId="4111" r:id="rId12" name="Drop Down 15">
              <controlPr defaultSize="0" autoLine="0" autoPict="0">
                <anchor moveWithCells="1">
                  <from>
                    <xdr:col>1</xdr:col>
                    <xdr:colOff>19050</xdr:colOff>
                    <xdr:row>60</xdr:row>
                    <xdr:rowOff>19050</xdr:rowOff>
                  </from>
                  <to>
                    <xdr:col>1</xdr:col>
                    <xdr:colOff>962025</xdr:colOff>
                    <xdr:row>60</xdr:row>
                    <xdr:rowOff>152400</xdr:rowOff>
                  </to>
                </anchor>
              </controlPr>
            </control>
          </mc:Choice>
        </mc:AlternateContent>
        <mc:AlternateContent xmlns:mc="http://schemas.openxmlformats.org/markup-compatibility/2006">
          <mc:Choice Requires="x14">
            <control shapeId="4112" r:id="rId13" name="Drop Down 16">
              <controlPr defaultSize="0" autoLine="0" autoPict="0">
                <anchor moveWithCells="1">
                  <from>
                    <xdr:col>1</xdr:col>
                    <xdr:colOff>19050</xdr:colOff>
                    <xdr:row>61</xdr:row>
                    <xdr:rowOff>19050</xdr:rowOff>
                  </from>
                  <to>
                    <xdr:col>1</xdr:col>
                    <xdr:colOff>962025</xdr:colOff>
                    <xdr:row>61</xdr:row>
                    <xdr:rowOff>152400</xdr:rowOff>
                  </to>
                </anchor>
              </controlPr>
            </control>
          </mc:Choice>
        </mc:AlternateContent>
        <mc:AlternateContent xmlns:mc="http://schemas.openxmlformats.org/markup-compatibility/2006">
          <mc:Choice Requires="x14">
            <control shapeId="4115" r:id="rId14" name="Button 19">
              <controlPr defaultSize="0" print="0" autoFill="0" autoPict="0" macro="[0]!Gegevens_voltooien">
                <anchor moveWithCells="1" sizeWithCells="1">
                  <from>
                    <xdr:col>0</xdr:col>
                    <xdr:colOff>76200</xdr:colOff>
                    <xdr:row>65</xdr:row>
                    <xdr:rowOff>0</xdr:rowOff>
                  </from>
                  <to>
                    <xdr:col>0</xdr:col>
                    <xdr:colOff>3333750</xdr:colOff>
                    <xdr:row>67</xdr:row>
                    <xdr:rowOff>0</xdr:rowOff>
                  </to>
                </anchor>
              </controlPr>
            </control>
          </mc:Choice>
        </mc:AlternateContent>
        <mc:AlternateContent xmlns:mc="http://schemas.openxmlformats.org/markup-compatibility/2006">
          <mc:Choice Requires="x14">
            <control shapeId="4116" r:id="rId15" name="Drop Down 20">
              <controlPr defaultSize="0" autoLine="0" autoPict="0">
                <anchor moveWithCells="1">
                  <from>
                    <xdr:col>1</xdr:col>
                    <xdr:colOff>19050</xdr:colOff>
                    <xdr:row>5</xdr:row>
                    <xdr:rowOff>19050</xdr:rowOff>
                  </from>
                  <to>
                    <xdr:col>1</xdr:col>
                    <xdr:colOff>962025</xdr:colOff>
                    <xdr:row>5</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B7401-C0E1-40E8-BBCB-D90374BFA278}">
  <sheetPr codeName="Blad11"/>
  <dimension ref="A1:L25"/>
  <sheetViews>
    <sheetView showRowColHeaders="0" zoomScaleNormal="100" workbookViewId="0">
      <selection activeCell="A3" sqref="A3"/>
    </sheetView>
  </sheetViews>
  <sheetFormatPr defaultRowHeight="12.75"/>
  <cols>
    <col min="1" max="1" width="31.42578125" style="64" bestFit="1" customWidth="1"/>
    <col min="2" max="2" width="19.140625" style="64" bestFit="1" customWidth="1"/>
    <col min="3" max="3" width="12" style="64" customWidth="1"/>
    <col min="4" max="4" width="8.42578125" style="64" customWidth="1"/>
    <col min="5" max="5" width="16.42578125" style="64" customWidth="1"/>
    <col min="6" max="6" width="2.5703125" style="64" customWidth="1"/>
    <col min="7" max="7" width="28.7109375" style="64" customWidth="1"/>
    <col min="8" max="8" width="2.5703125" style="64" customWidth="1"/>
    <col min="9" max="9" width="19.28515625" style="64" customWidth="1"/>
    <col min="10" max="10" width="2.5703125" style="64" customWidth="1"/>
    <col min="11" max="11" width="49.5703125" style="64" bestFit="1" customWidth="1"/>
    <col min="12" max="12" width="59.7109375" style="64" customWidth="1"/>
    <col min="13" max="16384" width="9.140625" style="64"/>
  </cols>
  <sheetData>
    <row r="1" spans="1:12">
      <c r="A1" s="69" t="s">
        <v>145</v>
      </c>
      <c r="D1" s="84" t="str">
        <f>IF(COUNTIF(C3:C15,TRUE)&gt;0,(13-COUNTIF(D3:D15,0)-COUNTIF(D3:D15,"nvt"))/(COUNTIF(C3:C15,TRUE)),"nvt")</f>
        <v>nvt</v>
      </c>
      <c r="H1" s="64" t="str">
        <f>IF(D1="nvt","",COUNTIF(H3:H15,TRUE))</f>
        <v/>
      </c>
      <c r="J1" s="64" t="str">
        <f>IF(D1="nvt","",COUNTIF(J3:J15,TRUE))</f>
        <v/>
      </c>
    </row>
    <row r="2" spans="1:12">
      <c r="A2" s="65" t="s">
        <v>140</v>
      </c>
      <c r="B2" s="65" t="s">
        <v>137</v>
      </c>
      <c r="C2" s="65" t="s">
        <v>141</v>
      </c>
      <c r="D2" s="65" t="s">
        <v>146</v>
      </c>
      <c r="E2" s="65" t="s">
        <v>147</v>
      </c>
      <c r="F2" s="65"/>
      <c r="G2" s="65" t="s">
        <v>22</v>
      </c>
      <c r="H2" s="65"/>
      <c r="I2" s="65" t="s">
        <v>148</v>
      </c>
      <c r="J2" s="65"/>
      <c r="K2" s="65" t="s">
        <v>150</v>
      </c>
      <c r="L2" s="65" t="s">
        <v>149</v>
      </c>
    </row>
    <row r="3" spans="1:12" s="78" customFormat="1">
      <c r="A3" s="79"/>
      <c r="B3" s="79"/>
      <c r="C3" s="88" t="b">
        <v>0</v>
      </c>
      <c r="D3" s="89" t="str">
        <f>IF(C3=TRUE,IF(F3=FALSE,0,IF((H3+J3)=0,1,IF((H3+J3)=2,2,3))),"nvt")</f>
        <v>nvt</v>
      </c>
      <c r="E3" s="79" t="s">
        <v>67</v>
      </c>
      <c r="F3" s="88" t="b">
        <v>0</v>
      </c>
      <c r="G3" s="90" t="s">
        <v>68</v>
      </c>
      <c r="H3" s="88" t="b">
        <v>0</v>
      </c>
      <c r="I3" s="90" t="s">
        <v>107</v>
      </c>
      <c r="J3" s="88" t="b">
        <v>0</v>
      </c>
      <c r="K3" s="79" t="str" cm="1">
        <f t="array" ref="K3">IF(D3="nvt","",_xlfn.IFS(D3="","",D3=0,"Motivatie waarom niet gecontroleerd/uitgevoerd:",D3&lt;=1,"Constatering en toelichting:",D3=2,"Toelichting op afwijking(en) en herstelactie(s):",D3=3,"Toelichting op afwijking(en), advies vervolgstappen:"))</f>
        <v/>
      </c>
      <c r="L3" s="79"/>
    </row>
    <row r="4" spans="1:12">
      <c r="A4" s="65"/>
      <c r="B4" s="65"/>
      <c r="C4" s="85" t="b">
        <v>0</v>
      </c>
      <c r="D4" s="86" t="str">
        <f>IF(C4=TRUE,IF(F4=FALSE,0,IF((H4+J4)=0,1,IF((H4+J4)=2,2,3))),"nvt")</f>
        <v>nvt</v>
      </c>
      <c r="E4" s="65" t="s">
        <v>67</v>
      </c>
      <c r="F4" s="85" t="b">
        <v>0</v>
      </c>
      <c r="G4" s="87" t="s">
        <v>68</v>
      </c>
      <c r="H4" s="85" t="b">
        <v>0</v>
      </c>
      <c r="I4" s="87" t="s">
        <v>107</v>
      </c>
      <c r="J4" s="85" t="b">
        <v>0</v>
      </c>
      <c r="K4" s="65" t="str" cm="1">
        <f t="array" ref="K4">IF(D4="nvt","",_xlfn.IFS(D4="","",D4=0,"Motivatie waarom niet gecontroleerd/uitgevoerd:",D4&lt;=1,"Constatering en toelichting:",D4=2,"Toelichting op afwijking(en) en herstelactie(s):",D4=3,"Toelichting op afwijking(en), advies vervolgstappen:"))</f>
        <v/>
      </c>
      <c r="L4" s="65"/>
    </row>
    <row r="5" spans="1:12">
      <c r="A5" s="65"/>
      <c r="B5" s="65"/>
      <c r="C5" s="85" t="b">
        <v>0</v>
      </c>
      <c r="D5" s="86" t="str">
        <f>IF(C5=TRUE,IF(F5=FALSE,0,IF((H5+J5)=0,1,IF((H5+J5)=2,2,3))),"nvt")</f>
        <v>nvt</v>
      </c>
      <c r="E5" s="65" t="s">
        <v>67</v>
      </c>
      <c r="F5" s="85" t="b">
        <v>0</v>
      </c>
      <c r="G5" s="87" t="s">
        <v>68</v>
      </c>
      <c r="H5" s="85" t="b">
        <v>0</v>
      </c>
      <c r="I5" s="87" t="s">
        <v>107</v>
      </c>
      <c r="J5" s="85" t="b">
        <v>0</v>
      </c>
      <c r="K5" s="65" t="str" cm="1">
        <f t="array" ref="K5">IF(D5="nvt","",_xlfn.IFS(D5="","",D5=0,"Motivatie waarom niet gecontroleerd/uitgevoerd:",D5&lt;=1,"Constatering en toelichting:",D5=2,"Toelichting op afwijking(en) en herstelactie(s):",D5=3,"Toelichting op afwijking(en), advies vervolgstappen:"))</f>
        <v/>
      </c>
      <c r="L5" s="65"/>
    </row>
    <row r="6" spans="1:12">
      <c r="A6" s="65"/>
      <c r="B6" s="65"/>
      <c r="C6" s="85" t="b">
        <v>0</v>
      </c>
      <c r="D6" s="86" t="str">
        <f>IF(C6=TRUE,IF(F6=FALSE,0,IF((H6+J6)=0,1,IF((H6+J6)=2,2,3))),"nvt")</f>
        <v>nvt</v>
      </c>
      <c r="E6" s="65" t="s">
        <v>67</v>
      </c>
      <c r="F6" s="85" t="b">
        <v>0</v>
      </c>
      <c r="G6" s="87" t="s">
        <v>68</v>
      </c>
      <c r="H6" s="85" t="b">
        <v>0</v>
      </c>
      <c r="I6" s="87" t="s">
        <v>107</v>
      </c>
      <c r="J6" s="85" t="b">
        <v>0</v>
      </c>
      <c r="K6" s="65" t="str" cm="1">
        <f t="array" ref="K6">IF(D6="nvt","",_xlfn.IFS(D6="","",D6=0,"Motivatie waarom niet gecontroleerd/uitgevoerd:",D6&lt;=1,"Constatering en toelichting:",D6=2,"Toelichting op afwijking(en) en herstelactie(s):",D6=3,"Toelichting op afwijking(en), advies vervolgstappen:"))</f>
        <v/>
      </c>
      <c r="L6" s="65"/>
    </row>
    <row r="7" spans="1:12">
      <c r="A7" s="65"/>
      <c r="B7" s="65"/>
      <c r="C7" s="85" t="b">
        <v>0</v>
      </c>
      <c r="D7" s="86" t="str">
        <f t="shared" ref="D7:D15" si="0">IF(C7=TRUE,IF(F7=FALSE,0,IF((H7+J7)=0,1,IF((H7+J7)=2,2,3))),"nvt")</f>
        <v>nvt</v>
      </c>
      <c r="E7" s="65" t="s">
        <v>67</v>
      </c>
      <c r="F7" s="85" t="b">
        <v>0</v>
      </c>
      <c r="G7" s="87" t="s">
        <v>68</v>
      </c>
      <c r="H7" s="85" t="b">
        <v>0</v>
      </c>
      <c r="I7" s="87" t="s">
        <v>107</v>
      </c>
      <c r="J7" s="85" t="b">
        <v>0</v>
      </c>
      <c r="K7" s="65" t="str" cm="1">
        <f t="array" ref="K7">IF(D7="nvt","",_xlfn.IFS(D7="","",D7=0,"Motivatie waarom niet gecontroleerd/uitgevoerd:",D7&lt;=1,"Constatering en toelichting:",D7=2,"Toelichting op afwijking(en) en herstelactie(s):",D7=3,"Toelichting op afwijking(en), advies vervolgstappen:"))</f>
        <v/>
      </c>
      <c r="L7" s="65"/>
    </row>
    <row r="8" spans="1:12">
      <c r="A8" s="65"/>
      <c r="B8" s="65"/>
      <c r="C8" s="85" t="b">
        <v>0</v>
      </c>
      <c r="D8" s="86" t="str">
        <f t="shared" si="0"/>
        <v>nvt</v>
      </c>
      <c r="E8" s="65" t="s">
        <v>67</v>
      </c>
      <c r="F8" s="85" t="b">
        <v>0</v>
      </c>
      <c r="G8" s="87" t="s">
        <v>68</v>
      </c>
      <c r="H8" s="85" t="b">
        <v>0</v>
      </c>
      <c r="I8" s="87" t="s">
        <v>107</v>
      </c>
      <c r="J8" s="85" t="b">
        <v>0</v>
      </c>
      <c r="K8" s="65" t="str" cm="1">
        <f t="array" ref="K8">IF(D8="nvt","",_xlfn.IFS(D8="","",D8=0,"Motivatie waarom niet gecontroleerd/uitgevoerd:",D8&lt;=1,"Constatering en toelichting:",D8=2,"Toelichting op afwijking(en) en herstelactie(s):",D8=3,"Toelichting op afwijking(en), advies vervolgstappen:"))</f>
        <v/>
      </c>
      <c r="L8" s="65"/>
    </row>
    <row r="9" spans="1:12">
      <c r="A9" s="65"/>
      <c r="B9" s="65"/>
      <c r="C9" s="85" t="b">
        <v>0</v>
      </c>
      <c r="D9" s="86" t="str">
        <f t="shared" si="0"/>
        <v>nvt</v>
      </c>
      <c r="E9" s="65" t="s">
        <v>67</v>
      </c>
      <c r="F9" s="85" t="b">
        <v>0</v>
      </c>
      <c r="G9" s="87" t="s">
        <v>68</v>
      </c>
      <c r="H9" s="85" t="b">
        <v>0</v>
      </c>
      <c r="I9" s="87" t="s">
        <v>107</v>
      </c>
      <c r="J9" s="85" t="b">
        <v>0</v>
      </c>
      <c r="K9" s="65" t="str" cm="1">
        <f t="array" ref="K9">IF(D9="nvt","",_xlfn.IFS(D9="","",D9=0,"Motivatie waarom niet gecontroleerd/uitgevoerd:",D9&lt;=1,"Constatering en toelichting:",D9=2,"Toelichting op afwijking(en) en herstelactie(s):",D9=3,"Toelichting op afwijking(en), advies vervolgstappen:"))</f>
        <v/>
      </c>
      <c r="L9" s="65"/>
    </row>
    <row r="10" spans="1:12">
      <c r="A10" s="65"/>
      <c r="B10" s="65"/>
      <c r="C10" s="85" t="b">
        <v>0</v>
      </c>
      <c r="D10" s="86" t="str">
        <f t="shared" si="0"/>
        <v>nvt</v>
      </c>
      <c r="E10" s="65" t="s">
        <v>67</v>
      </c>
      <c r="F10" s="85" t="b">
        <v>0</v>
      </c>
      <c r="G10" s="87" t="s">
        <v>68</v>
      </c>
      <c r="H10" s="85" t="b">
        <v>0</v>
      </c>
      <c r="I10" s="87" t="s">
        <v>107</v>
      </c>
      <c r="J10" s="85" t="b">
        <v>0</v>
      </c>
      <c r="K10" s="65" t="str" cm="1">
        <f t="array" ref="K10">IF(D10="nvt","",_xlfn.IFS(D10="","",D10=0,"Motivatie waarom niet gecontroleerd/uitgevoerd:",D10&lt;=1,"Constatering en toelichting:",D10=2,"Toelichting op afwijking(en) en herstelactie(s):",D10=3,"Toelichting op afwijking(en), advies vervolgstappen:"))</f>
        <v/>
      </c>
      <c r="L10" s="65"/>
    </row>
    <row r="11" spans="1:12">
      <c r="A11" s="65"/>
      <c r="B11" s="65"/>
      <c r="C11" s="85" t="b">
        <v>0</v>
      </c>
      <c r="D11" s="86" t="str">
        <f t="shared" si="0"/>
        <v>nvt</v>
      </c>
      <c r="E11" s="65" t="s">
        <v>67</v>
      </c>
      <c r="F11" s="85" t="b">
        <v>0</v>
      </c>
      <c r="G11" s="87" t="s">
        <v>68</v>
      </c>
      <c r="H11" s="85" t="b">
        <v>0</v>
      </c>
      <c r="I11" s="87" t="s">
        <v>107</v>
      </c>
      <c r="J11" s="85" t="b">
        <v>0</v>
      </c>
      <c r="K11" s="65" t="str" cm="1">
        <f t="array" ref="K11">IF(D11="nvt","",_xlfn.IFS(D11="","",D11=0,"Motivatie waarom niet gecontroleerd/uitgevoerd:",D11&lt;=1,"Constatering en toelichting:",D11=2,"Toelichting op afwijking(en) en herstelactie(s):",D11=3,"Toelichting op afwijking(en), advies vervolgstappen:"))</f>
        <v/>
      </c>
      <c r="L11" s="65"/>
    </row>
    <row r="12" spans="1:12">
      <c r="A12" s="65"/>
      <c r="B12" s="65"/>
      <c r="C12" s="85" t="b">
        <v>0</v>
      </c>
      <c r="D12" s="86" t="str">
        <f t="shared" si="0"/>
        <v>nvt</v>
      </c>
      <c r="E12" s="65" t="s">
        <v>67</v>
      </c>
      <c r="F12" s="85" t="b">
        <v>0</v>
      </c>
      <c r="G12" s="87" t="s">
        <v>68</v>
      </c>
      <c r="H12" s="85" t="b">
        <v>0</v>
      </c>
      <c r="I12" s="87" t="s">
        <v>107</v>
      </c>
      <c r="J12" s="85" t="b">
        <v>0</v>
      </c>
      <c r="K12" s="65" t="str" cm="1">
        <f t="array" ref="K12">IF(D12="nvt","",_xlfn.IFS(D12="","",D12=0,"Motivatie waarom niet gecontroleerd/uitgevoerd:",D12&lt;=1,"Constatering en toelichting:",D12=2,"Toelichting op afwijking(en) en herstelactie(s):",D12=3,"Toelichting op afwijking(en), advies vervolgstappen:"))</f>
        <v/>
      </c>
      <c r="L12" s="65"/>
    </row>
    <row r="13" spans="1:12">
      <c r="A13" s="65"/>
      <c r="B13" s="65"/>
      <c r="C13" s="85" t="b">
        <v>0</v>
      </c>
      <c r="D13" s="86" t="str">
        <f t="shared" si="0"/>
        <v>nvt</v>
      </c>
      <c r="E13" s="65" t="s">
        <v>67</v>
      </c>
      <c r="F13" s="85" t="b">
        <v>0</v>
      </c>
      <c r="G13" s="87" t="s">
        <v>68</v>
      </c>
      <c r="H13" s="85" t="b">
        <v>0</v>
      </c>
      <c r="I13" s="87" t="s">
        <v>107</v>
      </c>
      <c r="J13" s="85" t="b">
        <v>0</v>
      </c>
      <c r="K13" s="65" t="str" cm="1">
        <f t="array" ref="K13">IF(D13="nvt","",_xlfn.IFS(D13="","",D13=0,"Motivatie waarom niet gecontroleerd/uitgevoerd:",D13&lt;=1,"Constatering en toelichting:",D13=2,"Toelichting op afwijking(en) en herstelactie(s):",D13=3,"Toelichting op afwijking(en), advies vervolgstappen:"))</f>
        <v/>
      </c>
      <c r="L13" s="65"/>
    </row>
    <row r="14" spans="1:12">
      <c r="A14" s="65"/>
      <c r="B14" s="65"/>
      <c r="C14" s="85" t="b">
        <v>0</v>
      </c>
      <c r="D14" s="86" t="str">
        <f t="shared" si="0"/>
        <v>nvt</v>
      </c>
      <c r="E14" s="65" t="s">
        <v>67</v>
      </c>
      <c r="F14" s="85" t="b">
        <v>0</v>
      </c>
      <c r="G14" s="87" t="s">
        <v>68</v>
      </c>
      <c r="H14" s="85" t="b">
        <v>0</v>
      </c>
      <c r="I14" s="87" t="s">
        <v>107</v>
      </c>
      <c r="J14" s="85" t="b">
        <v>0</v>
      </c>
      <c r="K14" s="65" t="str" cm="1">
        <f t="array" ref="K14">IF(D14="nvt","",_xlfn.IFS(D14="","",D14=0,"Motivatie waarom niet gecontroleerd/uitgevoerd:",D14&lt;=1,"Constatering en toelichting:",D14=2,"Toelichting op afwijking(en) en herstelactie(s):",D14=3,"Toelichting op afwijking(en), advies vervolgstappen:"))</f>
        <v/>
      </c>
      <c r="L14" s="65"/>
    </row>
    <row r="15" spans="1:12">
      <c r="A15" s="65"/>
      <c r="B15" s="65"/>
      <c r="C15" s="85" t="b">
        <v>0</v>
      </c>
      <c r="D15" s="86" t="str">
        <f t="shared" si="0"/>
        <v>nvt</v>
      </c>
      <c r="E15" s="65" t="s">
        <v>67</v>
      </c>
      <c r="F15" s="85" t="b">
        <v>0</v>
      </c>
      <c r="G15" s="87" t="s">
        <v>68</v>
      </c>
      <c r="H15" s="85" t="b">
        <v>0</v>
      </c>
      <c r="I15" s="87" t="s">
        <v>107</v>
      </c>
      <c r="J15" s="85" t="b">
        <v>0</v>
      </c>
      <c r="K15" s="65" t="str" cm="1">
        <f t="array" ref="K15">IF(D15="nvt","",_xlfn.IFS(D15="","",D15=0,"Motivatie waarom niet gecontroleerd/uitgevoerd:",D15&lt;=1,"Constatering en toelichting:",D15=2,"Toelichting op afwijking(en) en herstelactie(s):",D15=3,"Toelichting op afwijking(en), advies vervolgstappen:"))</f>
        <v/>
      </c>
      <c r="L15" s="65"/>
    </row>
    <row r="16" spans="1:12">
      <c r="A16" s="65"/>
      <c r="B16" s="65"/>
      <c r="C16" s="65"/>
      <c r="D16" s="65"/>
      <c r="E16" s="65"/>
      <c r="F16" s="65"/>
      <c r="G16" s="65"/>
      <c r="H16" s="65"/>
      <c r="I16" s="65"/>
      <c r="J16" s="65"/>
      <c r="K16" s="65"/>
      <c r="L16" s="65"/>
    </row>
    <row r="17" spans="1:12">
      <c r="A17" s="65"/>
      <c r="B17" s="65"/>
      <c r="C17" s="65"/>
      <c r="D17" s="65"/>
      <c r="E17" s="65"/>
      <c r="F17" s="65"/>
      <c r="G17" s="65"/>
      <c r="H17" s="65"/>
      <c r="I17" s="65"/>
      <c r="J17" s="65"/>
      <c r="K17" s="65"/>
      <c r="L17" s="65"/>
    </row>
    <row r="18" spans="1:12">
      <c r="A18" s="65"/>
      <c r="B18" s="65"/>
      <c r="C18" s="65"/>
      <c r="D18" s="65"/>
      <c r="E18" s="65"/>
      <c r="F18" s="65"/>
      <c r="G18" s="65"/>
      <c r="H18" s="65"/>
      <c r="I18" s="65"/>
      <c r="J18" s="65"/>
      <c r="K18" s="65"/>
      <c r="L18" s="65"/>
    </row>
    <row r="19" spans="1:12">
      <c r="A19" s="65"/>
      <c r="B19" s="65"/>
      <c r="C19" s="65"/>
      <c r="D19" s="65"/>
      <c r="E19" s="65"/>
      <c r="F19" s="65"/>
      <c r="G19" s="65"/>
      <c r="H19" s="65"/>
      <c r="I19" s="65"/>
      <c r="J19" s="65"/>
      <c r="K19" s="65"/>
      <c r="L19" s="65"/>
    </row>
    <row r="20" spans="1:12">
      <c r="A20" s="65"/>
      <c r="B20" s="65"/>
      <c r="C20" s="65"/>
      <c r="D20" s="65"/>
      <c r="E20" s="65"/>
      <c r="F20" s="65"/>
      <c r="G20" s="65"/>
      <c r="H20" s="65"/>
      <c r="I20" s="65"/>
      <c r="J20" s="65"/>
      <c r="K20" s="65"/>
      <c r="L20" s="65"/>
    </row>
    <row r="21" spans="1:12">
      <c r="A21" s="65"/>
      <c r="B21" s="65"/>
      <c r="C21" s="65"/>
      <c r="D21" s="65"/>
      <c r="E21" s="65"/>
      <c r="F21" s="65"/>
      <c r="G21" s="65"/>
      <c r="H21" s="65"/>
      <c r="I21" s="65"/>
      <c r="J21" s="65"/>
      <c r="K21" s="65"/>
      <c r="L21" s="65"/>
    </row>
    <row r="22" spans="1:12">
      <c r="A22" s="65"/>
      <c r="B22" s="65"/>
      <c r="C22" s="65"/>
      <c r="D22" s="65"/>
      <c r="E22" s="65"/>
      <c r="F22" s="65"/>
      <c r="G22" s="65"/>
      <c r="H22" s="65"/>
      <c r="I22" s="65"/>
      <c r="J22" s="65"/>
      <c r="K22" s="65"/>
      <c r="L22" s="65"/>
    </row>
    <row r="23" spans="1:12">
      <c r="A23" s="65"/>
      <c r="B23" s="65"/>
      <c r="C23" s="65"/>
      <c r="D23" s="65"/>
      <c r="E23" s="65"/>
      <c r="F23" s="65"/>
      <c r="G23" s="65"/>
      <c r="H23" s="65"/>
      <c r="I23" s="65"/>
      <c r="J23" s="65"/>
      <c r="K23" s="65"/>
      <c r="L23" s="65"/>
    </row>
    <row r="24" spans="1:12">
      <c r="A24" s="65"/>
      <c r="B24" s="65"/>
      <c r="C24" s="65"/>
      <c r="D24" s="65"/>
      <c r="E24" s="65"/>
      <c r="F24" s="65"/>
      <c r="G24" s="65"/>
      <c r="H24" s="65"/>
      <c r="I24" s="65"/>
      <c r="J24" s="65"/>
      <c r="K24" s="65"/>
      <c r="L24" s="65"/>
    </row>
    <row r="25" spans="1:12">
      <c r="A25" s="65"/>
      <c r="B25" s="65"/>
      <c r="C25" s="65"/>
      <c r="D25" s="65"/>
      <c r="E25" s="65"/>
      <c r="F25" s="65"/>
      <c r="G25" s="65"/>
      <c r="H25" s="65"/>
      <c r="I25" s="65"/>
      <c r="J25" s="65"/>
      <c r="K25" s="65"/>
      <c r="L25" s="65"/>
    </row>
  </sheetData>
  <sheetProtection algorithmName="SHA-512" hashValue="uuLCK4/qeKFUPtC6sh1Zf/xUBW3gVISwWtLbxEWaj4+Fl4GI7qtWi5YYFauz7Wtkr6DCjxUfgI0qR+Rdmvs0vw==" saltValue="sLh/L5ne84pfVIwJR/SOZQ==" spinCount="100000" sheet="1" selectLockedCells="1"/>
  <conditionalFormatting sqref="D3:D15">
    <cfRule type="colorScale" priority="2">
      <colorScale>
        <cfvo type="num" val="1"/>
        <cfvo type="num" val="2"/>
        <cfvo type="num" val="3"/>
        <color rgb="FF92D050"/>
        <color rgb="FFFFC000"/>
        <color rgb="FFFF0000"/>
      </colorScale>
    </cfRule>
  </conditionalFormatting>
  <conditionalFormatting sqref="D3:D15">
    <cfRule type="cellIs" dxfId="47" priority="1" operator="equal">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0" r:id="rId3" name="Check Box 10">
              <controlPr defaultSize="0" autoFill="0" autoLine="0" autoPict="0" macro="[0]!CheckboxClick">
                <anchor moveWithCells="1">
                  <from>
                    <xdr:col>4</xdr:col>
                    <xdr:colOff>866775</xdr:colOff>
                    <xdr:row>1</xdr:row>
                    <xdr:rowOff>133350</xdr:rowOff>
                  </from>
                  <to>
                    <xdr:col>5</xdr:col>
                    <xdr:colOff>57150</xdr:colOff>
                    <xdr:row>3</xdr:row>
                    <xdr:rowOff>28575</xdr:rowOff>
                  </to>
                </anchor>
              </controlPr>
            </control>
          </mc:Choice>
        </mc:AlternateContent>
        <mc:AlternateContent xmlns:mc="http://schemas.openxmlformats.org/markup-compatibility/2006">
          <mc:Choice Requires="x14">
            <control shapeId="20491" r:id="rId4" name="Check Box 11">
              <controlPr defaultSize="0" autoFill="0" autoLine="0" autoPict="0" macro="[0]!CheckboxClick">
                <anchor moveWithCells="1">
                  <from>
                    <xdr:col>8</xdr:col>
                    <xdr:colOff>1028700</xdr:colOff>
                    <xdr:row>1</xdr:row>
                    <xdr:rowOff>133350</xdr:rowOff>
                  </from>
                  <to>
                    <xdr:col>9</xdr:col>
                    <xdr:colOff>19050</xdr:colOff>
                    <xdr:row>3</xdr:row>
                    <xdr:rowOff>28575</xdr:rowOff>
                  </to>
                </anchor>
              </controlPr>
            </control>
          </mc:Choice>
        </mc:AlternateContent>
        <mc:AlternateContent xmlns:mc="http://schemas.openxmlformats.org/markup-compatibility/2006">
          <mc:Choice Requires="x14">
            <control shapeId="20492" r:id="rId5" name="Check Box 12">
              <controlPr defaultSize="0" autoFill="0" autoLine="0" autoPict="0" macro="[0]!CheckboxClick">
                <anchor moveWithCells="1">
                  <from>
                    <xdr:col>6</xdr:col>
                    <xdr:colOff>1685925</xdr:colOff>
                    <xdr:row>1</xdr:row>
                    <xdr:rowOff>133350</xdr:rowOff>
                  </from>
                  <to>
                    <xdr:col>7</xdr:col>
                    <xdr:colOff>38100</xdr:colOff>
                    <xdr:row>3</xdr:row>
                    <xdr:rowOff>28575</xdr:rowOff>
                  </to>
                </anchor>
              </controlPr>
            </control>
          </mc:Choice>
        </mc:AlternateContent>
        <mc:AlternateContent xmlns:mc="http://schemas.openxmlformats.org/markup-compatibility/2006">
          <mc:Choice Requires="x14">
            <control shapeId="20493" r:id="rId6" name="Check Box 13">
              <controlPr defaultSize="0" autoFill="0" autoLine="0" autoPict="0" macro="[0]!CheckboxClick">
                <anchor moveWithCells="1">
                  <from>
                    <xdr:col>2</xdr:col>
                    <xdr:colOff>0</xdr:colOff>
                    <xdr:row>1</xdr:row>
                    <xdr:rowOff>133350</xdr:rowOff>
                  </from>
                  <to>
                    <xdr:col>2</xdr:col>
                    <xdr:colOff>285750</xdr:colOff>
                    <xdr:row>3</xdr:row>
                    <xdr:rowOff>28575</xdr:rowOff>
                  </to>
                </anchor>
              </controlPr>
            </control>
          </mc:Choice>
        </mc:AlternateContent>
        <mc:AlternateContent xmlns:mc="http://schemas.openxmlformats.org/markup-compatibility/2006">
          <mc:Choice Requires="x14">
            <control shapeId="20494" r:id="rId7" name="Check Box 14">
              <controlPr defaultSize="0" autoFill="0" autoLine="0" autoPict="0" macro="[0]!CheckboxClick">
                <anchor moveWithCells="1">
                  <from>
                    <xdr:col>4</xdr:col>
                    <xdr:colOff>866775</xdr:colOff>
                    <xdr:row>2</xdr:row>
                    <xdr:rowOff>133350</xdr:rowOff>
                  </from>
                  <to>
                    <xdr:col>5</xdr:col>
                    <xdr:colOff>57150</xdr:colOff>
                    <xdr:row>4</xdr:row>
                    <xdr:rowOff>28575</xdr:rowOff>
                  </to>
                </anchor>
              </controlPr>
            </control>
          </mc:Choice>
        </mc:AlternateContent>
        <mc:AlternateContent xmlns:mc="http://schemas.openxmlformats.org/markup-compatibility/2006">
          <mc:Choice Requires="x14">
            <control shapeId="20495" r:id="rId8" name="Check Box 15">
              <controlPr defaultSize="0" autoFill="0" autoLine="0" autoPict="0" macro="[0]!CheckboxClick">
                <anchor moveWithCells="1">
                  <from>
                    <xdr:col>8</xdr:col>
                    <xdr:colOff>1028700</xdr:colOff>
                    <xdr:row>2</xdr:row>
                    <xdr:rowOff>133350</xdr:rowOff>
                  </from>
                  <to>
                    <xdr:col>9</xdr:col>
                    <xdr:colOff>19050</xdr:colOff>
                    <xdr:row>4</xdr:row>
                    <xdr:rowOff>28575</xdr:rowOff>
                  </to>
                </anchor>
              </controlPr>
            </control>
          </mc:Choice>
        </mc:AlternateContent>
        <mc:AlternateContent xmlns:mc="http://schemas.openxmlformats.org/markup-compatibility/2006">
          <mc:Choice Requires="x14">
            <control shapeId="20496" r:id="rId9" name="Check Box 16">
              <controlPr defaultSize="0" autoFill="0" autoLine="0" autoPict="0" macro="[0]!CheckboxClick">
                <anchor moveWithCells="1">
                  <from>
                    <xdr:col>6</xdr:col>
                    <xdr:colOff>1685925</xdr:colOff>
                    <xdr:row>2</xdr:row>
                    <xdr:rowOff>133350</xdr:rowOff>
                  </from>
                  <to>
                    <xdr:col>7</xdr:col>
                    <xdr:colOff>38100</xdr:colOff>
                    <xdr:row>4</xdr:row>
                    <xdr:rowOff>28575</xdr:rowOff>
                  </to>
                </anchor>
              </controlPr>
            </control>
          </mc:Choice>
        </mc:AlternateContent>
        <mc:AlternateContent xmlns:mc="http://schemas.openxmlformats.org/markup-compatibility/2006">
          <mc:Choice Requires="x14">
            <control shapeId="20497" r:id="rId10" name="Check Box 17">
              <controlPr defaultSize="0" autoFill="0" autoLine="0" autoPict="0" macro="[0]!CheckboxClick">
                <anchor moveWithCells="1">
                  <from>
                    <xdr:col>2</xdr:col>
                    <xdr:colOff>0</xdr:colOff>
                    <xdr:row>2</xdr:row>
                    <xdr:rowOff>133350</xdr:rowOff>
                  </from>
                  <to>
                    <xdr:col>2</xdr:col>
                    <xdr:colOff>285750</xdr:colOff>
                    <xdr:row>4</xdr:row>
                    <xdr:rowOff>28575</xdr:rowOff>
                  </to>
                </anchor>
              </controlPr>
            </control>
          </mc:Choice>
        </mc:AlternateContent>
        <mc:AlternateContent xmlns:mc="http://schemas.openxmlformats.org/markup-compatibility/2006">
          <mc:Choice Requires="x14">
            <control shapeId="20498" r:id="rId11" name="Check Box 18">
              <controlPr defaultSize="0" autoFill="0" autoLine="0" autoPict="0" macro="[0]!CheckboxClick">
                <anchor moveWithCells="1">
                  <from>
                    <xdr:col>4</xdr:col>
                    <xdr:colOff>866775</xdr:colOff>
                    <xdr:row>3</xdr:row>
                    <xdr:rowOff>133350</xdr:rowOff>
                  </from>
                  <to>
                    <xdr:col>5</xdr:col>
                    <xdr:colOff>57150</xdr:colOff>
                    <xdr:row>5</xdr:row>
                    <xdr:rowOff>28575</xdr:rowOff>
                  </to>
                </anchor>
              </controlPr>
            </control>
          </mc:Choice>
        </mc:AlternateContent>
        <mc:AlternateContent xmlns:mc="http://schemas.openxmlformats.org/markup-compatibility/2006">
          <mc:Choice Requires="x14">
            <control shapeId="20499" r:id="rId12" name="Check Box 19">
              <controlPr defaultSize="0" autoFill="0" autoLine="0" autoPict="0" macro="[0]!CheckboxClick">
                <anchor moveWithCells="1">
                  <from>
                    <xdr:col>8</xdr:col>
                    <xdr:colOff>1028700</xdr:colOff>
                    <xdr:row>3</xdr:row>
                    <xdr:rowOff>133350</xdr:rowOff>
                  </from>
                  <to>
                    <xdr:col>9</xdr:col>
                    <xdr:colOff>19050</xdr:colOff>
                    <xdr:row>5</xdr:row>
                    <xdr:rowOff>28575</xdr:rowOff>
                  </to>
                </anchor>
              </controlPr>
            </control>
          </mc:Choice>
        </mc:AlternateContent>
        <mc:AlternateContent xmlns:mc="http://schemas.openxmlformats.org/markup-compatibility/2006">
          <mc:Choice Requires="x14">
            <control shapeId="20500" r:id="rId13" name="Check Box 20">
              <controlPr defaultSize="0" autoFill="0" autoLine="0" autoPict="0" macro="[0]!CheckboxClick">
                <anchor moveWithCells="1">
                  <from>
                    <xdr:col>6</xdr:col>
                    <xdr:colOff>1685925</xdr:colOff>
                    <xdr:row>3</xdr:row>
                    <xdr:rowOff>133350</xdr:rowOff>
                  </from>
                  <to>
                    <xdr:col>7</xdr:col>
                    <xdr:colOff>38100</xdr:colOff>
                    <xdr:row>5</xdr:row>
                    <xdr:rowOff>28575</xdr:rowOff>
                  </to>
                </anchor>
              </controlPr>
            </control>
          </mc:Choice>
        </mc:AlternateContent>
        <mc:AlternateContent xmlns:mc="http://schemas.openxmlformats.org/markup-compatibility/2006">
          <mc:Choice Requires="x14">
            <control shapeId="20501" r:id="rId14" name="Check Box 21">
              <controlPr defaultSize="0" autoFill="0" autoLine="0" autoPict="0" macro="[0]!CheckboxClick">
                <anchor moveWithCells="1">
                  <from>
                    <xdr:col>2</xdr:col>
                    <xdr:colOff>0</xdr:colOff>
                    <xdr:row>3</xdr:row>
                    <xdr:rowOff>133350</xdr:rowOff>
                  </from>
                  <to>
                    <xdr:col>2</xdr:col>
                    <xdr:colOff>285750</xdr:colOff>
                    <xdr:row>5</xdr:row>
                    <xdr:rowOff>28575</xdr:rowOff>
                  </to>
                </anchor>
              </controlPr>
            </control>
          </mc:Choice>
        </mc:AlternateContent>
        <mc:AlternateContent xmlns:mc="http://schemas.openxmlformats.org/markup-compatibility/2006">
          <mc:Choice Requires="x14">
            <control shapeId="20502" r:id="rId15" name="Check Box 22">
              <controlPr defaultSize="0" autoFill="0" autoLine="0" autoPict="0" macro="[0]!CheckboxClick">
                <anchor moveWithCells="1">
                  <from>
                    <xdr:col>4</xdr:col>
                    <xdr:colOff>866775</xdr:colOff>
                    <xdr:row>4</xdr:row>
                    <xdr:rowOff>133350</xdr:rowOff>
                  </from>
                  <to>
                    <xdr:col>5</xdr:col>
                    <xdr:colOff>57150</xdr:colOff>
                    <xdr:row>6</xdr:row>
                    <xdr:rowOff>28575</xdr:rowOff>
                  </to>
                </anchor>
              </controlPr>
            </control>
          </mc:Choice>
        </mc:AlternateContent>
        <mc:AlternateContent xmlns:mc="http://schemas.openxmlformats.org/markup-compatibility/2006">
          <mc:Choice Requires="x14">
            <control shapeId="20503" r:id="rId16" name="Check Box 23">
              <controlPr defaultSize="0" autoFill="0" autoLine="0" autoPict="0" macro="[0]!CheckboxClick">
                <anchor moveWithCells="1">
                  <from>
                    <xdr:col>8</xdr:col>
                    <xdr:colOff>1028700</xdr:colOff>
                    <xdr:row>4</xdr:row>
                    <xdr:rowOff>133350</xdr:rowOff>
                  </from>
                  <to>
                    <xdr:col>9</xdr:col>
                    <xdr:colOff>19050</xdr:colOff>
                    <xdr:row>6</xdr:row>
                    <xdr:rowOff>28575</xdr:rowOff>
                  </to>
                </anchor>
              </controlPr>
            </control>
          </mc:Choice>
        </mc:AlternateContent>
        <mc:AlternateContent xmlns:mc="http://schemas.openxmlformats.org/markup-compatibility/2006">
          <mc:Choice Requires="x14">
            <control shapeId="20504" r:id="rId17" name="Check Box 24">
              <controlPr defaultSize="0" autoFill="0" autoLine="0" autoPict="0" macro="[0]!CheckboxClick">
                <anchor moveWithCells="1">
                  <from>
                    <xdr:col>6</xdr:col>
                    <xdr:colOff>1685925</xdr:colOff>
                    <xdr:row>4</xdr:row>
                    <xdr:rowOff>133350</xdr:rowOff>
                  </from>
                  <to>
                    <xdr:col>7</xdr:col>
                    <xdr:colOff>38100</xdr:colOff>
                    <xdr:row>6</xdr:row>
                    <xdr:rowOff>28575</xdr:rowOff>
                  </to>
                </anchor>
              </controlPr>
            </control>
          </mc:Choice>
        </mc:AlternateContent>
        <mc:AlternateContent xmlns:mc="http://schemas.openxmlformats.org/markup-compatibility/2006">
          <mc:Choice Requires="x14">
            <control shapeId="20505" r:id="rId18" name="Check Box 25">
              <controlPr defaultSize="0" autoFill="0" autoLine="0" autoPict="0" macro="[0]!CheckboxClick">
                <anchor moveWithCells="1">
                  <from>
                    <xdr:col>2</xdr:col>
                    <xdr:colOff>0</xdr:colOff>
                    <xdr:row>4</xdr:row>
                    <xdr:rowOff>133350</xdr:rowOff>
                  </from>
                  <to>
                    <xdr:col>2</xdr:col>
                    <xdr:colOff>285750</xdr:colOff>
                    <xdr:row>6</xdr:row>
                    <xdr:rowOff>28575</xdr:rowOff>
                  </to>
                </anchor>
              </controlPr>
            </control>
          </mc:Choice>
        </mc:AlternateContent>
        <mc:AlternateContent xmlns:mc="http://schemas.openxmlformats.org/markup-compatibility/2006">
          <mc:Choice Requires="x14">
            <control shapeId="20506" r:id="rId19" name="Check Box 26">
              <controlPr defaultSize="0" autoFill="0" autoLine="0" autoPict="0" macro="[0]!CheckboxClick">
                <anchor moveWithCells="1">
                  <from>
                    <xdr:col>4</xdr:col>
                    <xdr:colOff>866775</xdr:colOff>
                    <xdr:row>5</xdr:row>
                    <xdr:rowOff>133350</xdr:rowOff>
                  </from>
                  <to>
                    <xdr:col>5</xdr:col>
                    <xdr:colOff>57150</xdr:colOff>
                    <xdr:row>7</xdr:row>
                    <xdr:rowOff>28575</xdr:rowOff>
                  </to>
                </anchor>
              </controlPr>
            </control>
          </mc:Choice>
        </mc:AlternateContent>
        <mc:AlternateContent xmlns:mc="http://schemas.openxmlformats.org/markup-compatibility/2006">
          <mc:Choice Requires="x14">
            <control shapeId="20507" r:id="rId20" name="Check Box 27">
              <controlPr defaultSize="0" autoFill="0" autoLine="0" autoPict="0" macro="[0]!CheckboxClick">
                <anchor moveWithCells="1">
                  <from>
                    <xdr:col>8</xdr:col>
                    <xdr:colOff>1028700</xdr:colOff>
                    <xdr:row>5</xdr:row>
                    <xdr:rowOff>133350</xdr:rowOff>
                  </from>
                  <to>
                    <xdr:col>9</xdr:col>
                    <xdr:colOff>19050</xdr:colOff>
                    <xdr:row>7</xdr:row>
                    <xdr:rowOff>28575</xdr:rowOff>
                  </to>
                </anchor>
              </controlPr>
            </control>
          </mc:Choice>
        </mc:AlternateContent>
        <mc:AlternateContent xmlns:mc="http://schemas.openxmlformats.org/markup-compatibility/2006">
          <mc:Choice Requires="x14">
            <control shapeId="20508" r:id="rId21" name="Check Box 28">
              <controlPr defaultSize="0" autoFill="0" autoLine="0" autoPict="0" macro="[0]!CheckboxClick">
                <anchor moveWithCells="1">
                  <from>
                    <xdr:col>6</xdr:col>
                    <xdr:colOff>1685925</xdr:colOff>
                    <xdr:row>5</xdr:row>
                    <xdr:rowOff>133350</xdr:rowOff>
                  </from>
                  <to>
                    <xdr:col>7</xdr:col>
                    <xdr:colOff>38100</xdr:colOff>
                    <xdr:row>7</xdr:row>
                    <xdr:rowOff>28575</xdr:rowOff>
                  </to>
                </anchor>
              </controlPr>
            </control>
          </mc:Choice>
        </mc:AlternateContent>
        <mc:AlternateContent xmlns:mc="http://schemas.openxmlformats.org/markup-compatibility/2006">
          <mc:Choice Requires="x14">
            <control shapeId="20509" r:id="rId22" name="Check Box 29">
              <controlPr defaultSize="0" autoFill="0" autoLine="0" autoPict="0" macro="[0]!CheckboxClick">
                <anchor moveWithCells="1">
                  <from>
                    <xdr:col>2</xdr:col>
                    <xdr:colOff>0</xdr:colOff>
                    <xdr:row>5</xdr:row>
                    <xdr:rowOff>133350</xdr:rowOff>
                  </from>
                  <to>
                    <xdr:col>2</xdr:col>
                    <xdr:colOff>285750</xdr:colOff>
                    <xdr:row>7</xdr:row>
                    <xdr:rowOff>28575</xdr:rowOff>
                  </to>
                </anchor>
              </controlPr>
            </control>
          </mc:Choice>
        </mc:AlternateContent>
        <mc:AlternateContent xmlns:mc="http://schemas.openxmlformats.org/markup-compatibility/2006">
          <mc:Choice Requires="x14">
            <control shapeId="20510" r:id="rId23" name="Check Box 30">
              <controlPr defaultSize="0" autoFill="0" autoLine="0" autoPict="0" macro="[0]!CheckboxClick">
                <anchor moveWithCells="1">
                  <from>
                    <xdr:col>4</xdr:col>
                    <xdr:colOff>866775</xdr:colOff>
                    <xdr:row>6</xdr:row>
                    <xdr:rowOff>133350</xdr:rowOff>
                  </from>
                  <to>
                    <xdr:col>5</xdr:col>
                    <xdr:colOff>57150</xdr:colOff>
                    <xdr:row>8</xdr:row>
                    <xdr:rowOff>28575</xdr:rowOff>
                  </to>
                </anchor>
              </controlPr>
            </control>
          </mc:Choice>
        </mc:AlternateContent>
        <mc:AlternateContent xmlns:mc="http://schemas.openxmlformats.org/markup-compatibility/2006">
          <mc:Choice Requires="x14">
            <control shapeId="20511" r:id="rId24" name="Check Box 31">
              <controlPr defaultSize="0" autoFill="0" autoLine="0" autoPict="0" macro="[0]!CheckboxClick">
                <anchor moveWithCells="1">
                  <from>
                    <xdr:col>8</xdr:col>
                    <xdr:colOff>1028700</xdr:colOff>
                    <xdr:row>6</xdr:row>
                    <xdr:rowOff>133350</xdr:rowOff>
                  </from>
                  <to>
                    <xdr:col>9</xdr:col>
                    <xdr:colOff>19050</xdr:colOff>
                    <xdr:row>8</xdr:row>
                    <xdr:rowOff>28575</xdr:rowOff>
                  </to>
                </anchor>
              </controlPr>
            </control>
          </mc:Choice>
        </mc:AlternateContent>
        <mc:AlternateContent xmlns:mc="http://schemas.openxmlformats.org/markup-compatibility/2006">
          <mc:Choice Requires="x14">
            <control shapeId="20512" r:id="rId25" name="Check Box 32">
              <controlPr defaultSize="0" autoFill="0" autoLine="0" autoPict="0" macro="[0]!CheckboxClick">
                <anchor moveWithCells="1">
                  <from>
                    <xdr:col>6</xdr:col>
                    <xdr:colOff>1685925</xdr:colOff>
                    <xdr:row>6</xdr:row>
                    <xdr:rowOff>133350</xdr:rowOff>
                  </from>
                  <to>
                    <xdr:col>7</xdr:col>
                    <xdr:colOff>38100</xdr:colOff>
                    <xdr:row>8</xdr:row>
                    <xdr:rowOff>28575</xdr:rowOff>
                  </to>
                </anchor>
              </controlPr>
            </control>
          </mc:Choice>
        </mc:AlternateContent>
        <mc:AlternateContent xmlns:mc="http://schemas.openxmlformats.org/markup-compatibility/2006">
          <mc:Choice Requires="x14">
            <control shapeId="20513" r:id="rId26" name="Check Box 33">
              <controlPr defaultSize="0" autoFill="0" autoLine="0" autoPict="0" macro="[0]!CheckboxClick">
                <anchor moveWithCells="1">
                  <from>
                    <xdr:col>2</xdr:col>
                    <xdr:colOff>0</xdr:colOff>
                    <xdr:row>6</xdr:row>
                    <xdr:rowOff>133350</xdr:rowOff>
                  </from>
                  <to>
                    <xdr:col>2</xdr:col>
                    <xdr:colOff>285750</xdr:colOff>
                    <xdr:row>8</xdr:row>
                    <xdr:rowOff>28575</xdr:rowOff>
                  </to>
                </anchor>
              </controlPr>
            </control>
          </mc:Choice>
        </mc:AlternateContent>
        <mc:AlternateContent xmlns:mc="http://schemas.openxmlformats.org/markup-compatibility/2006">
          <mc:Choice Requires="x14">
            <control shapeId="20514" r:id="rId27" name="Check Box 34">
              <controlPr defaultSize="0" autoFill="0" autoLine="0" autoPict="0" macro="[0]!CheckboxClick">
                <anchor moveWithCells="1">
                  <from>
                    <xdr:col>4</xdr:col>
                    <xdr:colOff>866775</xdr:colOff>
                    <xdr:row>7</xdr:row>
                    <xdr:rowOff>133350</xdr:rowOff>
                  </from>
                  <to>
                    <xdr:col>5</xdr:col>
                    <xdr:colOff>57150</xdr:colOff>
                    <xdr:row>9</xdr:row>
                    <xdr:rowOff>28575</xdr:rowOff>
                  </to>
                </anchor>
              </controlPr>
            </control>
          </mc:Choice>
        </mc:AlternateContent>
        <mc:AlternateContent xmlns:mc="http://schemas.openxmlformats.org/markup-compatibility/2006">
          <mc:Choice Requires="x14">
            <control shapeId="20515" r:id="rId28" name="Check Box 35">
              <controlPr defaultSize="0" autoFill="0" autoLine="0" autoPict="0" macro="[0]!CheckboxClick">
                <anchor moveWithCells="1">
                  <from>
                    <xdr:col>8</xdr:col>
                    <xdr:colOff>1028700</xdr:colOff>
                    <xdr:row>7</xdr:row>
                    <xdr:rowOff>133350</xdr:rowOff>
                  </from>
                  <to>
                    <xdr:col>9</xdr:col>
                    <xdr:colOff>19050</xdr:colOff>
                    <xdr:row>9</xdr:row>
                    <xdr:rowOff>28575</xdr:rowOff>
                  </to>
                </anchor>
              </controlPr>
            </control>
          </mc:Choice>
        </mc:AlternateContent>
        <mc:AlternateContent xmlns:mc="http://schemas.openxmlformats.org/markup-compatibility/2006">
          <mc:Choice Requires="x14">
            <control shapeId="20516" r:id="rId29" name="Check Box 36">
              <controlPr defaultSize="0" autoFill="0" autoLine="0" autoPict="0" macro="[0]!CheckboxClick">
                <anchor moveWithCells="1">
                  <from>
                    <xdr:col>6</xdr:col>
                    <xdr:colOff>1685925</xdr:colOff>
                    <xdr:row>7</xdr:row>
                    <xdr:rowOff>133350</xdr:rowOff>
                  </from>
                  <to>
                    <xdr:col>7</xdr:col>
                    <xdr:colOff>38100</xdr:colOff>
                    <xdr:row>9</xdr:row>
                    <xdr:rowOff>28575</xdr:rowOff>
                  </to>
                </anchor>
              </controlPr>
            </control>
          </mc:Choice>
        </mc:AlternateContent>
        <mc:AlternateContent xmlns:mc="http://schemas.openxmlformats.org/markup-compatibility/2006">
          <mc:Choice Requires="x14">
            <control shapeId="20517" r:id="rId30" name="Check Box 37">
              <controlPr defaultSize="0" autoFill="0" autoLine="0" autoPict="0" macro="[0]!CheckboxClick">
                <anchor moveWithCells="1">
                  <from>
                    <xdr:col>2</xdr:col>
                    <xdr:colOff>0</xdr:colOff>
                    <xdr:row>7</xdr:row>
                    <xdr:rowOff>133350</xdr:rowOff>
                  </from>
                  <to>
                    <xdr:col>2</xdr:col>
                    <xdr:colOff>285750</xdr:colOff>
                    <xdr:row>9</xdr:row>
                    <xdr:rowOff>28575</xdr:rowOff>
                  </to>
                </anchor>
              </controlPr>
            </control>
          </mc:Choice>
        </mc:AlternateContent>
        <mc:AlternateContent xmlns:mc="http://schemas.openxmlformats.org/markup-compatibility/2006">
          <mc:Choice Requires="x14">
            <control shapeId="20518" r:id="rId31" name="Check Box 38">
              <controlPr defaultSize="0" autoFill="0" autoLine="0" autoPict="0" macro="[0]!CheckboxClick">
                <anchor moveWithCells="1">
                  <from>
                    <xdr:col>4</xdr:col>
                    <xdr:colOff>866775</xdr:colOff>
                    <xdr:row>8</xdr:row>
                    <xdr:rowOff>133350</xdr:rowOff>
                  </from>
                  <to>
                    <xdr:col>5</xdr:col>
                    <xdr:colOff>57150</xdr:colOff>
                    <xdr:row>10</xdr:row>
                    <xdr:rowOff>28575</xdr:rowOff>
                  </to>
                </anchor>
              </controlPr>
            </control>
          </mc:Choice>
        </mc:AlternateContent>
        <mc:AlternateContent xmlns:mc="http://schemas.openxmlformats.org/markup-compatibility/2006">
          <mc:Choice Requires="x14">
            <control shapeId="20519" r:id="rId32" name="Check Box 39">
              <controlPr defaultSize="0" autoFill="0" autoLine="0" autoPict="0" macro="[0]!CheckboxClick">
                <anchor moveWithCells="1">
                  <from>
                    <xdr:col>8</xdr:col>
                    <xdr:colOff>1028700</xdr:colOff>
                    <xdr:row>8</xdr:row>
                    <xdr:rowOff>133350</xdr:rowOff>
                  </from>
                  <to>
                    <xdr:col>9</xdr:col>
                    <xdr:colOff>19050</xdr:colOff>
                    <xdr:row>10</xdr:row>
                    <xdr:rowOff>28575</xdr:rowOff>
                  </to>
                </anchor>
              </controlPr>
            </control>
          </mc:Choice>
        </mc:AlternateContent>
        <mc:AlternateContent xmlns:mc="http://schemas.openxmlformats.org/markup-compatibility/2006">
          <mc:Choice Requires="x14">
            <control shapeId="20520" r:id="rId33" name="Check Box 40">
              <controlPr defaultSize="0" autoFill="0" autoLine="0" autoPict="0" macro="[0]!CheckboxClick">
                <anchor moveWithCells="1">
                  <from>
                    <xdr:col>6</xdr:col>
                    <xdr:colOff>1685925</xdr:colOff>
                    <xdr:row>8</xdr:row>
                    <xdr:rowOff>133350</xdr:rowOff>
                  </from>
                  <to>
                    <xdr:col>7</xdr:col>
                    <xdr:colOff>38100</xdr:colOff>
                    <xdr:row>10</xdr:row>
                    <xdr:rowOff>28575</xdr:rowOff>
                  </to>
                </anchor>
              </controlPr>
            </control>
          </mc:Choice>
        </mc:AlternateContent>
        <mc:AlternateContent xmlns:mc="http://schemas.openxmlformats.org/markup-compatibility/2006">
          <mc:Choice Requires="x14">
            <control shapeId="20521" r:id="rId34" name="Check Box 41">
              <controlPr defaultSize="0" autoFill="0" autoLine="0" autoPict="0" macro="[0]!CheckboxClick">
                <anchor moveWithCells="1">
                  <from>
                    <xdr:col>2</xdr:col>
                    <xdr:colOff>0</xdr:colOff>
                    <xdr:row>8</xdr:row>
                    <xdr:rowOff>133350</xdr:rowOff>
                  </from>
                  <to>
                    <xdr:col>2</xdr:col>
                    <xdr:colOff>285750</xdr:colOff>
                    <xdr:row>10</xdr:row>
                    <xdr:rowOff>28575</xdr:rowOff>
                  </to>
                </anchor>
              </controlPr>
            </control>
          </mc:Choice>
        </mc:AlternateContent>
        <mc:AlternateContent xmlns:mc="http://schemas.openxmlformats.org/markup-compatibility/2006">
          <mc:Choice Requires="x14">
            <control shapeId="20522" r:id="rId35" name="Check Box 42">
              <controlPr defaultSize="0" autoFill="0" autoLine="0" autoPict="0" macro="[0]!CheckboxClick">
                <anchor moveWithCells="1">
                  <from>
                    <xdr:col>4</xdr:col>
                    <xdr:colOff>866775</xdr:colOff>
                    <xdr:row>9</xdr:row>
                    <xdr:rowOff>133350</xdr:rowOff>
                  </from>
                  <to>
                    <xdr:col>5</xdr:col>
                    <xdr:colOff>57150</xdr:colOff>
                    <xdr:row>11</xdr:row>
                    <xdr:rowOff>28575</xdr:rowOff>
                  </to>
                </anchor>
              </controlPr>
            </control>
          </mc:Choice>
        </mc:AlternateContent>
        <mc:AlternateContent xmlns:mc="http://schemas.openxmlformats.org/markup-compatibility/2006">
          <mc:Choice Requires="x14">
            <control shapeId="20523" r:id="rId36" name="Check Box 43">
              <controlPr defaultSize="0" autoFill="0" autoLine="0" autoPict="0" macro="[0]!CheckboxClick">
                <anchor moveWithCells="1">
                  <from>
                    <xdr:col>8</xdr:col>
                    <xdr:colOff>1028700</xdr:colOff>
                    <xdr:row>9</xdr:row>
                    <xdr:rowOff>133350</xdr:rowOff>
                  </from>
                  <to>
                    <xdr:col>9</xdr:col>
                    <xdr:colOff>19050</xdr:colOff>
                    <xdr:row>11</xdr:row>
                    <xdr:rowOff>28575</xdr:rowOff>
                  </to>
                </anchor>
              </controlPr>
            </control>
          </mc:Choice>
        </mc:AlternateContent>
        <mc:AlternateContent xmlns:mc="http://schemas.openxmlformats.org/markup-compatibility/2006">
          <mc:Choice Requires="x14">
            <control shapeId="20524" r:id="rId37" name="Check Box 44">
              <controlPr defaultSize="0" autoFill="0" autoLine="0" autoPict="0" macro="[0]!CheckboxClick">
                <anchor moveWithCells="1">
                  <from>
                    <xdr:col>6</xdr:col>
                    <xdr:colOff>1685925</xdr:colOff>
                    <xdr:row>9</xdr:row>
                    <xdr:rowOff>133350</xdr:rowOff>
                  </from>
                  <to>
                    <xdr:col>7</xdr:col>
                    <xdr:colOff>38100</xdr:colOff>
                    <xdr:row>11</xdr:row>
                    <xdr:rowOff>28575</xdr:rowOff>
                  </to>
                </anchor>
              </controlPr>
            </control>
          </mc:Choice>
        </mc:AlternateContent>
        <mc:AlternateContent xmlns:mc="http://schemas.openxmlformats.org/markup-compatibility/2006">
          <mc:Choice Requires="x14">
            <control shapeId="20525" r:id="rId38" name="Check Box 45">
              <controlPr defaultSize="0" autoFill="0" autoLine="0" autoPict="0" macro="[0]!CheckboxClick">
                <anchor moveWithCells="1">
                  <from>
                    <xdr:col>2</xdr:col>
                    <xdr:colOff>0</xdr:colOff>
                    <xdr:row>9</xdr:row>
                    <xdr:rowOff>133350</xdr:rowOff>
                  </from>
                  <to>
                    <xdr:col>2</xdr:col>
                    <xdr:colOff>285750</xdr:colOff>
                    <xdr:row>11</xdr:row>
                    <xdr:rowOff>28575</xdr:rowOff>
                  </to>
                </anchor>
              </controlPr>
            </control>
          </mc:Choice>
        </mc:AlternateContent>
        <mc:AlternateContent xmlns:mc="http://schemas.openxmlformats.org/markup-compatibility/2006">
          <mc:Choice Requires="x14">
            <control shapeId="20526" r:id="rId39" name="Check Box 46">
              <controlPr defaultSize="0" autoFill="0" autoLine="0" autoPict="0" macro="[0]!CheckboxClick">
                <anchor moveWithCells="1">
                  <from>
                    <xdr:col>4</xdr:col>
                    <xdr:colOff>866775</xdr:colOff>
                    <xdr:row>10</xdr:row>
                    <xdr:rowOff>133350</xdr:rowOff>
                  </from>
                  <to>
                    <xdr:col>5</xdr:col>
                    <xdr:colOff>57150</xdr:colOff>
                    <xdr:row>12</xdr:row>
                    <xdr:rowOff>28575</xdr:rowOff>
                  </to>
                </anchor>
              </controlPr>
            </control>
          </mc:Choice>
        </mc:AlternateContent>
        <mc:AlternateContent xmlns:mc="http://schemas.openxmlformats.org/markup-compatibility/2006">
          <mc:Choice Requires="x14">
            <control shapeId="20527" r:id="rId40" name="Check Box 47">
              <controlPr defaultSize="0" autoFill="0" autoLine="0" autoPict="0" macro="[0]!CheckboxClick">
                <anchor moveWithCells="1">
                  <from>
                    <xdr:col>8</xdr:col>
                    <xdr:colOff>1028700</xdr:colOff>
                    <xdr:row>10</xdr:row>
                    <xdr:rowOff>133350</xdr:rowOff>
                  </from>
                  <to>
                    <xdr:col>9</xdr:col>
                    <xdr:colOff>19050</xdr:colOff>
                    <xdr:row>12</xdr:row>
                    <xdr:rowOff>28575</xdr:rowOff>
                  </to>
                </anchor>
              </controlPr>
            </control>
          </mc:Choice>
        </mc:AlternateContent>
        <mc:AlternateContent xmlns:mc="http://schemas.openxmlformats.org/markup-compatibility/2006">
          <mc:Choice Requires="x14">
            <control shapeId="20528" r:id="rId41" name="Check Box 48">
              <controlPr defaultSize="0" autoFill="0" autoLine="0" autoPict="0" macro="[0]!CheckboxClick">
                <anchor moveWithCells="1">
                  <from>
                    <xdr:col>6</xdr:col>
                    <xdr:colOff>1685925</xdr:colOff>
                    <xdr:row>10</xdr:row>
                    <xdr:rowOff>133350</xdr:rowOff>
                  </from>
                  <to>
                    <xdr:col>7</xdr:col>
                    <xdr:colOff>38100</xdr:colOff>
                    <xdr:row>12</xdr:row>
                    <xdr:rowOff>28575</xdr:rowOff>
                  </to>
                </anchor>
              </controlPr>
            </control>
          </mc:Choice>
        </mc:AlternateContent>
        <mc:AlternateContent xmlns:mc="http://schemas.openxmlformats.org/markup-compatibility/2006">
          <mc:Choice Requires="x14">
            <control shapeId="20529" r:id="rId42" name="Check Box 49">
              <controlPr defaultSize="0" autoFill="0" autoLine="0" autoPict="0" macro="[0]!CheckboxClick">
                <anchor moveWithCells="1">
                  <from>
                    <xdr:col>2</xdr:col>
                    <xdr:colOff>0</xdr:colOff>
                    <xdr:row>10</xdr:row>
                    <xdr:rowOff>133350</xdr:rowOff>
                  </from>
                  <to>
                    <xdr:col>2</xdr:col>
                    <xdr:colOff>285750</xdr:colOff>
                    <xdr:row>12</xdr:row>
                    <xdr:rowOff>28575</xdr:rowOff>
                  </to>
                </anchor>
              </controlPr>
            </control>
          </mc:Choice>
        </mc:AlternateContent>
        <mc:AlternateContent xmlns:mc="http://schemas.openxmlformats.org/markup-compatibility/2006">
          <mc:Choice Requires="x14">
            <control shapeId="20530" r:id="rId43" name="Check Box 50">
              <controlPr defaultSize="0" autoFill="0" autoLine="0" autoPict="0" macro="[0]!CheckboxClick">
                <anchor moveWithCells="1">
                  <from>
                    <xdr:col>4</xdr:col>
                    <xdr:colOff>866775</xdr:colOff>
                    <xdr:row>11</xdr:row>
                    <xdr:rowOff>133350</xdr:rowOff>
                  </from>
                  <to>
                    <xdr:col>5</xdr:col>
                    <xdr:colOff>57150</xdr:colOff>
                    <xdr:row>13</xdr:row>
                    <xdr:rowOff>28575</xdr:rowOff>
                  </to>
                </anchor>
              </controlPr>
            </control>
          </mc:Choice>
        </mc:AlternateContent>
        <mc:AlternateContent xmlns:mc="http://schemas.openxmlformats.org/markup-compatibility/2006">
          <mc:Choice Requires="x14">
            <control shapeId="20531" r:id="rId44" name="Check Box 51">
              <controlPr defaultSize="0" autoFill="0" autoLine="0" autoPict="0" macro="[0]!CheckboxClick">
                <anchor moveWithCells="1">
                  <from>
                    <xdr:col>8</xdr:col>
                    <xdr:colOff>1028700</xdr:colOff>
                    <xdr:row>11</xdr:row>
                    <xdr:rowOff>133350</xdr:rowOff>
                  </from>
                  <to>
                    <xdr:col>9</xdr:col>
                    <xdr:colOff>19050</xdr:colOff>
                    <xdr:row>13</xdr:row>
                    <xdr:rowOff>28575</xdr:rowOff>
                  </to>
                </anchor>
              </controlPr>
            </control>
          </mc:Choice>
        </mc:AlternateContent>
        <mc:AlternateContent xmlns:mc="http://schemas.openxmlformats.org/markup-compatibility/2006">
          <mc:Choice Requires="x14">
            <control shapeId="20532" r:id="rId45" name="Check Box 52">
              <controlPr defaultSize="0" autoFill="0" autoLine="0" autoPict="0" macro="[0]!CheckboxClick">
                <anchor moveWithCells="1">
                  <from>
                    <xdr:col>6</xdr:col>
                    <xdr:colOff>1685925</xdr:colOff>
                    <xdr:row>11</xdr:row>
                    <xdr:rowOff>133350</xdr:rowOff>
                  </from>
                  <to>
                    <xdr:col>7</xdr:col>
                    <xdr:colOff>38100</xdr:colOff>
                    <xdr:row>13</xdr:row>
                    <xdr:rowOff>28575</xdr:rowOff>
                  </to>
                </anchor>
              </controlPr>
            </control>
          </mc:Choice>
        </mc:AlternateContent>
        <mc:AlternateContent xmlns:mc="http://schemas.openxmlformats.org/markup-compatibility/2006">
          <mc:Choice Requires="x14">
            <control shapeId="20533" r:id="rId46" name="Check Box 53">
              <controlPr defaultSize="0" autoFill="0" autoLine="0" autoPict="0" macro="[0]!CheckboxClick">
                <anchor moveWithCells="1">
                  <from>
                    <xdr:col>2</xdr:col>
                    <xdr:colOff>0</xdr:colOff>
                    <xdr:row>11</xdr:row>
                    <xdr:rowOff>133350</xdr:rowOff>
                  </from>
                  <to>
                    <xdr:col>2</xdr:col>
                    <xdr:colOff>285750</xdr:colOff>
                    <xdr:row>13</xdr:row>
                    <xdr:rowOff>28575</xdr:rowOff>
                  </to>
                </anchor>
              </controlPr>
            </control>
          </mc:Choice>
        </mc:AlternateContent>
        <mc:AlternateContent xmlns:mc="http://schemas.openxmlformats.org/markup-compatibility/2006">
          <mc:Choice Requires="x14">
            <control shapeId="20534" r:id="rId47" name="Check Box 54">
              <controlPr defaultSize="0" autoFill="0" autoLine="0" autoPict="0" macro="[0]!CheckboxClick">
                <anchor moveWithCells="1">
                  <from>
                    <xdr:col>4</xdr:col>
                    <xdr:colOff>866775</xdr:colOff>
                    <xdr:row>12</xdr:row>
                    <xdr:rowOff>133350</xdr:rowOff>
                  </from>
                  <to>
                    <xdr:col>5</xdr:col>
                    <xdr:colOff>57150</xdr:colOff>
                    <xdr:row>14</xdr:row>
                    <xdr:rowOff>28575</xdr:rowOff>
                  </to>
                </anchor>
              </controlPr>
            </control>
          </mc:Choice>
        </mc:AlternateContent>
        <mc:AlternateContent xmlns:mc="http://schemas.openxmlformats.org/markup-compatibility/2006">
          <mc:Choice Requires="x14">
            <control shapeId="20535" r:id="rId48" name="Check Box 55">
              <controlPr defaultSize="0" autoFill="0" autoLine="0" autoPict="0" macro="[0]!CheckboxClick">
                <anchor moveWithCells="1">
                  <from>
                    <xdr:col>8</xdr:col>
                    <xdr:colOff>1028700</xdr:colOff>
                    <xdr:row>12</xdr:row>
                    <xdr:rowOff>133350</xdr:rowOff>
                  </from>
                  <to>
                    <xdr:col>9</xdr:col>
                    <xdr:colOff>19050</xdr:colOff>
                    <xdr:row>14</xdr:row>
                    <xdr:rowOff>28575</xdr:rowOff>
                  </to>
                </anchor>
              </controlPr>
            </control>
          </mc:Choice>
        </mc:AlternateContent>
        <mc:AlternateContent xmlns:mc="http://schemas.openxmlformats.org/markup-compatibility/2006">
          <mc:Choice Requires="x14">
            <control shapeId="20536" r:id="rId49" name="Check Box 56">
              <controlPr defaultSize="0" autoFill="0" autoLine="0" autoPict="0" macro="[0]!CheckboxClick">
                <anchor moveWithCells="1">
                  <from>
                    <xdr:col>6</xdr:col>
                    <xdr:colOff>1685925</xdr:colOff>
                    <xdr:row>12</xdr:row>
                    <xdr:rowOff>133350</xdr:rowOff>
                  </from>
                  <to>
                    <xdr:col>7</xdr:col>
                    <xdr:colOff>38100</xdr:colOff>
                    <xdr:row>14</xdr:row>
                    <xdr:rowOff>28575</xdr:rowOff>
                  </to>
                </anchor>
              </controlPr>
            </control>
          </mc:Choice>
        </mc:AlternateContent>
        <mc:AlternateContent xmlns:mc="http://schemas.openxmlformats.org/markup-compatibility/2006">
          <mc:Choice Requires="x14">
            <control shapeId="20537" r:id="rId50" name="Check Box 57">
              <controlPr defaultSize="0" autoFill="0" autoLine="0" autoPict="0" macro="[0]!CheckboxClick">
                <anchor moveWithCells="1">
                  <from>
                    <xdr:col>2</xdr:col>
                    <xdr:colOff>0</xdr:colOff>
                    <xdr:row>12</xdr:row>
                    <xdr:rowOff>133350</xdr:rowOff>
                  </from>
                  <to>
                    <xdr:col>2</xdr:col>
                    <xdr:colOff>285750</xdr:colOff>
                    <xdr:row>14</xdr:row>
                    <xdr:rowOff>28575</xdr:rowOff>
                  </to>
                </anchor>
              </controlPr>
            </control>
          </mc:Choice>
        </mc:AlternateContent>
        <mc:AlternateContent xmlns:mc="http://schemas.openxmlformats.org/markup-compatibility/2006">
          <mc:Choice Requires="x14">
            <control shapeId="20538" r:id="rId51" name="Check Box 58">
              <controlPr defaultSize="0" autoFill="0" autoLine="0" autoPict="0" macro="[0]!CheckboxClick">
                <anchor moveWithCells="1">
                  <from>
                    <xdr:col>4</xdr:col>
                    <xdr:colOff>866775</xdr:colOff>
                    <xdr:row>13</xdr:row>
                    <xdr:rowOff>133350</xdr:rowOff>
                  </from>
                  <to>
                    <xdr:col>5</xdr:col>
                    <xdr:colOff>57150</xdr:colOff>
                    <xdr:row>15</xdr:row>
                    <xdr:rowOff>28575</xdr:rowOff>
                  </to>
                </anchor>
              </controlPr>
            </control>
          </mc:Choice>
        </mc:AlternateContent>
        <mc:AlternateContent xmlns:mc="http://schemas.openxmlformats.org/markup-compatibility/2006">
          <mc:Choice Requires="x14">
            <control shapeId="20539" r:id="rId52" name="Check Box 59">
              <controlPr defaultSize="0" autoFill="0" autoLine="0" autoPict="0" macro="[0]!CheckboxClick">
                <anchor moveWithCells="1">
                  <from>
                    <xdr:col>8</xdr:col>
                    <xdr:colOff>1028700</xdr:colOff>
                    <xdr:row>13</xdr:row>
                    <xdr:rowOff>133350</xdr:rowOff>
                  </from>
                  <to>
                    <xdr:col>9</xdr:col>
                    <xdr:colOff>19050</xdr:colOff>
                    <xdr:row>15</xdr:row>
                    <xdr:rowOff>28575</xdr:rowOff>
                  </to>
                </anchor>
              </controlPr>
            </control>
          </mc:Choice>
        </mc:AlternateContent>
        <mc:AlternateContent xmlns:mc="http://schemas.openxmlformats.org/markup-compatibility/2006">
          <mc:Choice Requires="x14">
            <control shapeId="20540" r:id="rId53" name="Check Box 60">
              <controlPr defaultSize="0" autoFill="0" autoLine="0" autoPict="0" macro="[0]!CheckboxClick">
                <anchor moveWithCells="1">
                  <from>
                    <xdr:col>6</xdr:col>
                    <xdr:colOff>1685925</xdr:colOff>
                    <xdr:row>13</xdr:row>
                    <xdr:rowOff>133350</xdr:rowOff>
                  </from>
                  <to>
                    <xdr:col>7</xdr:col>
                    <xdr:colOff>38100</xdr:colOff>
                    <xdr:row>15</xdr:row>
                    <xdr:rowOff>28575</xdr:rowOff>
                  </to>
                </anchor>
              </controlPr>
            </control>
          </mc:Choice>
        </mc:AlternateContent>
        <mc:AlternateContent xmlns:mc="http://schemas.openxmlformats.org/markup-compatibility/2006">
          <mc:Choice Requires="x14">
            <control shapeId="20541" r:id="rId54" name="Check Box 61">
              <controlPr defaultSize="0" autoFill="0" autoLine="0" autoPict="0" macro="[0]!CheckboxClick">
                <anchor moveWithCells="1">
                  <from>
                    <xdr:col>2</xdr:col>
                    <xdr:colOff>0</xdr:colOff>
                    <xdr:row>13</xdr:row>
                    <xdr:rowOff>133350</xdr:rowOff>
                  </from>
                  <to>
                    <xdr:col>2</xdr:col>
                    <xdr:colOff>285750</xdr:colOff>
                    <xdr:row>15</xdr:row>
                    <xdr:rowOff>28575</xdr:rowOff>
                  </to>
                </anchor>
              </controlPr>
            </control>
          </mc:Choice>
        </mc:AlternateContent>
        <mc:AlternateContent xmlns:mc="http://schemas.openxmlformats.org/markup-compatibility/2006">
          <mc:Choice Requires="x14">
            <control shapeId="20559" r:id="rId55" name="Drop Down 79">
              <controlPr defaultSize="0" autoLine="0" autoPict="0">
                <anchor moveWithCells="1">
                  <from>
                    <xdr:col>1</xdr:col>
                    <xdr:colOff>19050</xdr:colOff>
                    <xdr:row>2</xdr:row>
                    <xdr:rowOff>19050</xdr:rowOff>
                  </from>
                  <to>
                    <xdr:col>1</xdr:col>
                    <xdr:colOff>1257300</xdr:colOff>
                    <xdr:row>2</xdr:row>
                    <xdr:rowOff>152400</xdr:rowOff>
                  </to>
                </anchor>
              </controlPr>
            </control>
          </mc:Choice>
        </mc:AlternateContent>
        <mc:AlternateContent xmlns:mc="http://schemas.openxmlformats.org/markup-compatibility/2006">
          <mc:Choice Requires="x14">
            <control shapeId="20560" r:id="rId56" name="Drop Down 80">
              <controlPr defaultSize="0" autoLine="0" autoPict="0">
                <anchor moveWithCells="1">
                  <from>
                    <xdr:col>1</xdr:col>
                    <xdr:colOff>19050</xdr:colOff>
                    <xdr:row>3</xdr:row>
                    <xdr:rowOff>19050</xdr:rowOff>
                  </from>
                  <to>
                    <xdr:col>1</xdr:col>
                    <xdr:colOff>1257300</xdr:colOff>
                    <xdr:row>3</xdr:row>
                    <xdr:rowOff>152400</xdr:rowOff>
                  </to>
                </anchor>
              </controlPr>
            </control>
          </mc:Choice>
        </mc:AlternateContent>
        <mc:AlternateContent xmlns:mc="http://schemas.openxmlformats.org/markup-compatibility/2006">
          <mc:Choice Requires="x14">
            <control shapeId="20561" r:id="rId57" name="Drop Down 81">
              <controlPr defaultSize="0" autoLine="0" autoPict="0">
                <anchor moveWithCells="1">
                  <from>
                    <xdr:col>1</xdr:col>
                    <xdr:colOff>19050</xdr:colOff>
                    <xdr:row>4</xdr:row>
                    <xdr:rowOff>19050</xdr:rowOff>
                  </from>
                  <to>
                    <xdr:col>1</xdr:col>
                    <xdr:colOff>1257300</xdr:colOff>
                    <xdr:row>4</xdr:row>
                    <xdr:rowOff>152400</xdr:rowOff>
                  </to>
                </anchor>
              </controlPr>
            </control>
          </mc:Choice>
        </mc:AlternateContent>
        <mc:AlternateContent xmlns:mc="http://schemas.openxmlformats.org/markup-compatibility/2006">
          <mc:Choice Requires="x14">
            <control shapeId="20562" r:id="rId58" name="Drop Down 82">
              <controlPr defaultSize="0" autoLine="0" autoPict="0">
                <anchor moveWithCells="1">
                  <from>
                    <xdr:col>1</xdr:col>
                    <xdr:colOff>19050</xdr:colOff>
                    <xdr:row>5</xdr:row>
                    <xdr:rowOff>19050</xdr:rowOff>
                  </from>
                  <to>
                    <xdr:col>1</xdr:col>
                    <xdr:colOff>1257300</xdr:colOff>
                    <xdr:row>5</xdr:row>
                    <xdr:rowOff>152400</xdr:rowOff>
                  </to>
                </anchor>
              </controlPr>
            </control>
          </mc:Choice>
        </mc:AlternateContent>
        <mc:AlternateContent xmlns:mc="http://schemas.openxmlformats.org/markup-compatibility/2006">
          <mc:Choice Requires="x14">
            <control shapeId="20563" r:id="rId59" name="Drop Down 83">
              <controlPr defaultSize="0" autoLine="0" autoPict="0">
                <anchor moveWithCells="1">
                  <from>
                    <xdr:col>1</xdr:col>
                    <xdr:colOff>19050</xdr:colOff>
                    <xdr:row>6</xdr:row>
                    <xdr:rowOff>19050</xdr:rowOff>
                  </from>
                  <to>
                    <xdr:col>1</xdr:col>
                    <xdr:colOff>1257300</xdr:colOff>
                    <xdr:row>6</xdr:row>
                    <xdr:rowOff>152400</xdr:rowOff>
                  </to>
                </anchor>
              </controlPr>
            </control>
          </mc:Choice>
        </mc:AlternateContent>
        <mc:AlternateContent xmlns:mc="http://schemas.openxmlformats.org/markup-compatibility/2006">
          <mc:Choice Requires="x14">
            <control shapeId="20564" r:id="rId60" name="Drop Down 84">
              <controlPr defaultSize="0" autoLine="0" autoPict="0">
                <anchor moveWithCells="1">
                  <from>
                    <xdr:col>1</xdr:col>
                    <xdr:colOff>19050</xdr:colOff>
                    <xdr:row>7</xdr:row>
                    <xdr:rowOff>19050</xdr:rowOff>
                  </from>
                  <to>
                    <xdr:col>1</xdr:col>
                    <xdr:colOff>1257300</xdr:colOff>
                    <xdr:row>7</xdr:row>
                    <xdr:rowOff>152400</xdr:rowOff>
                  </to>
                </anchor>
              </controlPr>
            </control>
          </mc:Choice>
        </mc:AlternateContent>
        <mc:AlternateContent xmlns:mc="http://schemas.openxmlformats.org/markup-compatibility/2006">
          <mc:Choice Requires="x14">
            <control shapeId="20565" r:id="rId61" name="Drop Down 85">
              <controlPr defaultSize="0" autoLine="0" autoPict="0">
                <anchor moveWithCells="1">
                  <from>
                    <xdr:col>1</xdr:col>
                    <xdr:colOff>19050</xdr:colOff>
                    <xdr:row>8</xdr:row>
                    <xdr:rowOff>19050</xdr:rowOff>
                  </from>
                  <to>
                    <xdr:col>1</xdr:col>
                    <xdr:colOff>1257300</xdr:colOff>
                    <xdr:row>8</xdr:row>
                    <xdr:rowOff>152400</xdr:rowOff>
                  </to>
                </anchor>
              </controlPr>
            </control>
          </mc:Choice>
        </mc:AlternateContent>
        <mc:AlternateContent xmlns:mc="http://schemas.openxmlformats.org/markup-compatibility/2006">
          <mc:Choice Requires="x14">
            <control shapeId="20566" r:id="rId62" name="Drop Down 86">
              <controlPr defaultSize="0" autoLine="0" autoPict="0">
                <anchor moveWithCells="1">
                  <from>
                    <xdr:col>1</xdr:col>
                    <xdr:colOff>19050</xdr:colOff>
                    <xdr:row>9</xdr:row>
                    <xdr:rowOff>19050</xdr:rowOff>
                  </from>
                  <to>
                    <xdr:col>1</xdr:col>
                    <xdr:colOff>1257300</xdr:colOff>
                    <xdr:row>9</xdr:row>
                    <xdr:rowOff>152400</xdr:rowOff>
                  </to>
                </anchor>
              </controlPr>
            </control>
          </mc:Choice>
        </mc:AlternateContent>
        <mc:AlternateContent xmlns:mc="http://schemas.openxmlformats.org/markup-compatibility/2006">
          <mc:Choice Requires="x14">
            <control shapeId="20567" r:id="rId63" name="Drop Down 87">
              <controlPr defaultSize="0" autoLine="0" autoPict="0">
                <anchor moveWithCells="1">
                  <from>
                    <xdr:col>1</xdr:col>
                    <xdr:colOff>19050</xdr:colOff>
                    <xdr:row>10</xdr:row>
                    <xdr:rowOff>19050</xdr:rowOff>
                  </from>
                  <to>
                    <xdr:col>1</xdr:col>
                    <xdr:colOff>1257300</xdr:colOff>
                    <xdr:row>10</xdr:row>
                    <xdr:rowOff>152400</xdr:rowOff>
                  </to>
                </anchor>
              </controlPr>
            </control>
          </mc:Choice>
        </mc:AlternateContent>
        <mc:AlternateContent xmlns:mc="http://schemas.openxmlformats.org/markup-compatibility/2006">
          <mc:Choice Requires="x14">
            <control shapeId="20568" r:id="rId64" name="Drop Down 88">
              <controlPr defaultSize="0" autoLine="0" autoPict="0">
                <anchor moveWithCells="1">
                  <from>
                    <xdr:col>1</xdr:col>
                    <xdr:colOff>19050</xdr:colOff>
                    <xdr:row>11</xdr:row>
                    <xdr:rowOff>19050</xdr:rowOff>
                  </from>
                  <to>
                    <xdr:col>1</xdr:col>
                    <xdr:colOff>1257300</xdr:colOff>
                    <xdr:row>11</xdr:row>
                    <xdr:rowOff>152400</xdr:rowOff>
                  </to>
                </anchor>
              </controlPr>
            </control>
          </mc:Choice>
        </mc:AlternateContent>
        <mc:AlternateContent xmlns:mc="http://schemas.openxmlformats.org/markup-compatibility/2006">
          <mc:Choice Requires="x14">
            <control shapeId="20569" r:id="rId65" name="Drop Down 89">
              <controlPr defaultSize="0" autoLine="0" autoPict="0">
                <anchor moveWithCells="1">
                  <from>
                    <xdr:col>1</xdr:col>
                    <xdr:colOff>19050</xdr:colOff>
                    <xdr:row>12</xdr:row>
                    <xdr:rowOff>19050</xdr:rowOff>
                  </from>
                  <to>
                    <xdr:col>1</xdr:col>
                    <xdr:colOff>1257300</xdr:colOff>
                    <xdr:row>12</xdr:row>
                    <xdr:rowOff>152400</xdr:rowOff>
                  </to>
                </anchor>
              </controlPr>
            </control>
          </mc:Choice>
        </mc:AlternateContent>
        <mc:AlternateContent xmlns:mc="http://schemas.openxmlformats.org/markup-compatibility/2006">
          <mc:Choice Requires="x14">
            <control shapeId="20570" r:id="rId66" name="Drop Down 90">
              <controlPr defaultSize="0" autoLine="0" autoPict="0">
                <anchor moveWithCells="1">
                  <from>
                    <xdr:col>1</xdr:col>
                    <xdr:colOff>19050</xdr:colOff>
                    <xdr:row>13</xdr:row>
                    <xdr:rowOff>19050</xdr:rowOff>
                  </from>
                  <to>
                    <xdr:col>1</xdr:col>
                    <xdr:colOff>1257300</xdr:colOff>
                    <xdr:row>13</xdr:row>
                    <xdr:rowOff>152400</xdr:rowOff>
                  </to>
                </anchor>
              </controlPr>
            </control>
          </mc:Choice>
        </mc:AlternateContent>
        <mc:AlternateContent xmlns:mc="http://schemas.openxmlformats.org/markup-compatibility/2006">
          <mc:Choice Requires="x14">
            <control shapeId="20571" r:id="rId67" name="Drop Down 91">
              <controlPr defaultSize="0" autoLine="0" autoPict="0">
                <anchor moveWithCells="1">
                  <from>
                    <xdr:col>1</xdr:col>
                    <xdr:colOff>19050</xdr:colOff>
                    <xdr:row>14</xdr:row>
                    <xdr:rowOff>19050</xdr:rowOff>
                  </from>
                  <to>
                    <xdr:col>1</xdr:col>
                    <xdr:colOff>1257300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85B95-BA96-4265-8BB1-ADA3FE90D86F}">
  <sheetPr codeName="Blad1"/>
  <dimension ref="A1:J77"/>
  <sheetViews>
    <sheetView tabSelected="1" zoomScaleNormal="100" workbookViewId="0">
      <selection activeCell="C20" sqref="C20"/>
    </sheetView>
  </sheetViews>
  <sheetFormatPr defaultRowHeight="12.75"/>
  <cols>
    <col min="1" max="1" width="64" style="64" customWidth="1"/>
    <col min="2" max="2" width="9.7109375" style="64" customWidth="1"/>
    <col min="3" max="3" width="16.42578125" style="64" customWidth="1"/>
    <col min="4" max="4" width="3" style="64" customWidth="1"/>
    <col min="5" max="5" width="29.140625" style="64" customWidth="1"/>
    <col min="6" max="6" width="3" style="80" customWidth="1"/>
    <col min="7" max="7" width="19.42578125" style="64" customWidth="1"/>
    <col min="8" max="8" width="3" style="80" customWidth="1"/>
    <col min="9" max="9" width="53.140625" style="64" bestFit="1" customWidth="1"/>
    <col min="10" max="10" width="36.5703125" style="64" customWidth="1"/>
    <col min="11" max="16384" width="9.140625" style="64"/>
  </cols>
  <sheetData>
    <row r="1" spans="1:8">
      <c r="A1" s="69" t="str">
        <f>"REGELPANEEL "&amp;B2</f>
        <v>REGELPANEEL INVULLEN</v>
      </c>
      <c r="B1" s="91" t="e">
        <f>IF(C1="","nvt",(SUM(B19,B28,B34,B46,B69))/(5-COUNTIF(B19,"nvt")-COUNTIF(B28,"nvt")-COUNTIF(B34,"nvt")-COUNTIF(B46,"nvt")-COUNTIF(B69,"nvt")))</f>
        <v>#DIV/0!</v>
      </c>
      <c r="C1" s="69" t="str">
        <f>IF(COUNTIFS(B19,"nvt",B28,"nvt",B34,"nvt",B46,"nvt",B69,"nvt")&lt;1,"uitgevoerd","")</f>
        <v>uitgevoerd</v>
      </c>
      <c r="E1" s="92" t="e">
        <f>IF(B1="nvt","","Geconstateerde afwijkingen:")</f>
        <v>#DIV/0!</v>
      </c>
      <c r="F1" s="93" t="e">
        <f>IF(B1="nvt","",SUM(F19,F28,F34,F46,F69))</f>
        <v>#DIV/0!</v>
      </c>
      <c r="G1" s="64" t="e">
        <f>IF(B1="nvt","","en direct hersteld:")</f>
        <v>#DIV/0!</v>
      </c>
      <c r="H1" s="93" t="e">
        <f>IF(B1="nvt","",SUM(H19,H28,H34,H46,H69))</f>
        <v>#DIV/0!</v>
      </c>
    </row>
    <row r="2" spans="1:8">
      <c r="A2" s="64" t="s">
        <v>69</v>
      </c>
      <c r="B2" s="65" t="s">
        <v>116</v>
      </c>
    </row>
    <row r="3" spans="1:8">
      <c r="A3" s="64" t="s">
        <v>93</v>
      </c>
      <c r="B3" s="65" t="s">
        <v>116</v>
      </c>
    </row>
    <row r="4" spans="1:8">
      <c r="A4" s="64" t="s">
        <v>72</v>
      </c>
      <c r="B4" s="65" t="s">
        <v>116</v>
      </c>
    </row>
    <row r="5" spans="1:8">
      <c r="A5" s="64" t="s">
        <v>70</v>
      </c>
      <c r="B5" s="65" t="s">
        <v>116</v>
      </c>
    </row>
    <row r="6" spans="1:8">
      <c r="A6" s="64" t="s">
        <v>79</v>
      </c>
      <c r="B6" s="65"/>
      <c r="C6" s="94">
        <v>1</v>
      </c>
      <c r="E6" s="95"/>
    </row>
    <row r="7" spans="1:8">
      <c r="A7" s="64" t="s">
        <v>71</v>
      </c>
      <c r="B7" s="81" t="s">
        <v>116</v>
      </c>
    </row>
    <row r="8" spans="1:8">
      <c r="A8" s="64" t="s">
        <v>171</v>
      </c>
      <c r="C8" s="65" t="b">
        <v>0</v>
      </c>
    </row>
    <row r="9" spans="1:8">
      <c r="A9" s="64" t="s">
        <v>111</v>
      </c>
      <c r="C9" s="65" t="b">
        <v>0</v>
      </c>
    </row>
    <row r="10" spans="1:8">
      <c r="A10" s="64" t="s">
        <v>92</v>
      </c>
      <c r="C10" s="65" t="b">
        <v>0</v>
      </c>
    </row>
    <row r="11" spans="1:8">
      <c r="A11" s="64" t="s">
        <v>94</v>
      </c>
      <c r="B11" s="65" t="str">
        <f>IF(C10=FALSE,"nvt","INVULLEN")</f>
        <v>nvt</v>
      </c>
    </row>
    <row r="12" spans="1:8">
      <c r="A12" s="64" t="s">
        <v>95</v>
      </c>
      <c r="B12" s="65" t="str">
        <f>IF(C10=FALSE,"nvt","INVULLEN")</f>
        <v>nvt</v>
      </c>
    </row>
    <row r="13" spans="1:8">
      <c r="A13" s="64" t="s">
        <v>168</v>
      </c>
      <c r="B13" s="65" t="s">
        <v>116</v>
      </c>
    </row>
    <row r="14" spans="1:8">
      <c r="A14" s="64" t="s">
        <v>167</v>
      </c>
      <c r="B14" s="65" t="s">
        <v>116</v>
      </c>
    </row>
    <row r="15" spans="1:8">
      <c r="A15" s="64" t="s">
        <v>169</v>
      </c>
      <c r="B15" s="65" t="s">
        <v>116</v>
      </c>
    </row>
    <row r="16" spans="1:8">
      <c r="A16" s="64" t="s">
        <v>170</v>
      </c>
      <c r="B16" s="65" t="s">
        <v>116</v>
      </c>
    </row>
    <row r="19" spans="1:10">
      <c r="A19" s="69" t="s">
        <v>96</v>
      </c>
      <c r="B19" s="91">
        <f>IF(Inputblad!C3&lt;1,"nvt",(COUNTA(B20:B26)-COUNTIF(B20:B26,0)-COUNTIF(B20:B26,"nvt"))/(COUNTA(B20:B26)-COUNTIF(B20:B26,"nvt")))</f>
        <v>0</v>
      </c>
      <c r="C19" s="69" t="str">
        <f>IF(B19="nvt","","uitgevoerd")</f>
        <v>uitgevoerd</v>
      </c>
      <c r="E19" s="92" t="str">
        <f>IF(B19="nvt","","Geconstateerde afwijkingen:")</f>
        <v>Geconstateerde afwijkingen:</v>
      </c>
      <c r="F19" s="93">
        <f>IF(B19="nvt","",COUNTIF(F20:F26,TRUE))</f>
        <v>1</v>
      </c>
      <c r="G19" s="64" t="str">
        <f>IF(B19="nvt","","en direct hersteld:")</f>
        <v>en direct hersteld:</v>
      </c>
      <c r="H19" s="80">
        <f>IF(B19="nvt","",COUNTIF(H20:H26,TRUE))</f>
        <v>0</v>
      </c>
      <c r="J19" s="65"/>
    </row>
    <row r="20" spans="1:10" s="78" customFormat="1">
      <c r="A20" s="78" t="s">
        <v>23</v>
      </c>
      <c r="B20" s="98">
        <f>IF(ISNUMBER(SEARCH("niet van toepassing",J20))+ISNUMBER(SEARCH("buiten scope",J20))+ISNUMBER(SEARCH("nvt",J20)),"nvt",IF(Inputblad!C$3&lt;1,"nvt",IF(D20=FALSE,0,IF((F20+H20)=0,1,IF((F20+H20)=2,2,3)))))</f>
        <v>0</v>
      </c>
      <c r="C20" s="78" t="s">
        <v>21</v>
      </c>
      <c r="D20" s="88" t="b">
        <v>0</v>
      </c>
      <c r="E20" s="99" t="s">
        <v>68</v>
      </c>
      <c r="F20" s="100" t="b">
        <v>1</v>
      </c>
      <c r="G20" s="99" t="s">
        <v>107</v>
      </c>
      <c r="H20" s="100" t="b">
        <v>0</v>
      </c>
      <c r="I20" s="78" t="str" cm="1">
        <f t="array" ref="I20">IF(B20="nvt","",_xlfn.IFS(B20="","",B20=0,"Motivatie waarom niet gecontroleerd/uitgevoerd:",B20&lt;=1,"Eventuele toelichting:",B20=2,"Toelichting op afwijking(en) en herstelactie(s):",B20=3,"Toelichting op afwijking(en), advies vervolgstappen:"))</f>
        <v>Motivatie waarom niet gecontroleerd/uitgevoerd:</v>
      </c>
      <c r="J20" s="79"/>
    </row>
    <row r="21" spans="1:10">
      <c r="A21" s="64" t="s">
        <v>81</v>
      </c>
      <c r="B21" s="96">
        <f>IF(ISNUMBER(SEARCH("niet van toepassing",J21))+ISNUMBER(SEARCH("buiten scope",J21))+ISNUMBER(SEARCH("nvt",J21)),"nvt",IF(Inputblad!C$3&lt;1,"nvt",IF(D21=FALSE,0,IF((F21+H21)=0,1,IF((F21+H21)=2,2,3)))))</f>
        <v>0</v>
      </c>
      <c r="C21" s="64" t="s">
        <v>21</v>
      </c>
      <c r="D21" s="85" t="b">
        <v>0</v>
      </c>
      <c r="E21" s="92" t="s">
        <v>68</v>
      </c>
      <c r="F21" s="97" t="b">
        <v>0</v>
      </c>
      <c r="G21" s="92" t="s">
        <v>107</v>
      </c>
      <c r="H21" s="97" t="b">
        <v>0</v>
      </c>
      <c r="I21" s="64" t="str" cm="1">
        <f t="array" ref="I21">IF(B21="nvt","",_xlfn.IFS(B21="","",B21=0,"Motivatie waarom niet gecontroleerd/uitgevoerd:",B21&lt;=1,"Eventuele toelichting:",B21=2,"Toelichting op afwijking(en) en herstelactie(s):",B21=3,"Toelichting op afwijking(en), advies vervolgstappen:"))</f>
        <v>Motivatie waarom niet gecontroleerd/uitgevoerd:</v>
      </c>
      <c r="J21" s="65"/>
    </row>
    <row r="22" spans="1:10">
      <c r="A22" s="64" t="s">
        <v>17</v>
      </c>
      <c r="B22" s="96">
        <f>IF(ISNUMBER(SEARCH("niet van toepassing",J22))+ISNUMBER(SEARCH("buiten scope",J22))+ISNUMBER(SEARCH("nvt",J22)),"nvt",IF(Inputblad!C$3&lt;1,"nvt",IF(D22=FALSE,0,IF((F22+H22)=0,1,IF((F22+H22)=2,2,3)))))</f>
        <v>0</v>
      </c>
      <c r="C22" s="64" t="s">
        <v>21</v>
      </c>
      <c r="D22" s="85" t="b">
        <v>0</v>
      </c>
      <c r="E22" s="92" t="s">
        <v>68</v>
      </c>
      <c r="F22" s="97" t="b">
        <v>0</v>
      </c>
      <c r="G22" s="92" t="s">
        <v>107</v>
      </c>
      <c r="H22" s="97" t="b">
        <v>0</v>
      </c>
      <c r="I22" s="64" t="str" cm="1">
        <f t="array" ref="I22">IF(B22="nvt","",_xlfn.IFS(B22="","",B22=0,"Motivatie waarom niet gecontroleerd/uitgevoerd:",B22&lt;=1,"Eventuele toelichting:",B22=2,"Toelichting op afwijking(en) en herstelactie(s):",B22=3,"Toelichting op afwijking(en), advies vervolgstappen:"))</f>
        <v>Motivatie waarom niet gecontroleerd/uitgevoerd:</v>
      </c>
      <c r="J22" s="65"/>
    </row>
    <row r="23" spans="1:10">
      <c r="A23" s="64" t="s">
        <v>82</v>
      </c>
      <c r="B23" s="96" t="str">
        <f>IF(ISNUMBER(SEARCH("niet van toepassing",J23))+ISNUMBER(SEARCH("buiten scope",J23))+ISNUMBER(SEARCH("nvt",J23)),"nvt",IF(C9=TRUE,IF(D23=FALSE,0,IF((F23+H23)=0,1,IF((F23+H23)=2,2,3))),"nvt"))</f>
        <v>nvt</v>
      </c>
      <c r="C23" s="64" t="s">
        <v>67</v>
      </c>
      <c r="D23" s="85" t="b">
        <v>0</v>
      </c>
      <c r="E23" s="92" t="s">
        <v>68</v>
      </c>
      <c r="F23" s="97" t="b">
        <v>0</v>
      </c>
      <c r="G23" s="92" t="s">
        <v>107</v>
      </c>
      <c r="H23" s="97" t="b">
        <v>0</v>
      </c>
      <c r="I23" s="64" t="str" cm="1">
        <f t="array" ref="I23">IF(B23="nvt","",_xlfn.IFS(B23="","",B23=0,"Motivatie waarom niet gecontroleerd/uitgevoerd:",B23&lt;=1,"Eventuele toelichting:",B23=2,"Toelichting op afwijking(en) en herstelactie(s):",B23=3,"Toelichting op afwijking(en), advies vervolgstappen:"))</f>
        <v/>
      </c>
      <c r="J23" s="65"/>
    </row>
    <row r="24" spans="1:10">
      <c r="A24" s="64" t="s">
        <v>83</v>
      </c>
      <c r="B24" s="96" t="str">
        <f>IF(ISNUMBER(SEARCH("niet van toepassing",J24))+ISNUMBER(SEARCH("buiten scope",J24))+ISNUMBER(SEARCH("nvt",J24)),"nvt",IF(C10=TRUE,IF(D24=FALSE,0,IF((F24+H24)=0,1,IF((F24+H24)=2,2,3))),"nvt"))</f>
        <v>nvt</v>
      </c>
      <c r="C24" s="64" t="s">
        <v>67</v>
      </c>
      <c r="D24" s="85" t="b">
        <v>0</v>
      </c>
      <c r="E24" s="92" t="s">
        <v>68</v>
      </c>
      <c r="F24" s="97" t="b">
        <v>0</v>
      </c>
      <c r="G24" s="92" t="s">
        <v>107</v>
      </c>
      <c r="H24" s="97" t="b">
        <v>0</v>
      </c>
      <c r="I24" s="64" t="str" cm="1">
        <f t="array" ref="I24">IF(B24="nvt","",_xlfn.IFS(B24="","",B24=0,"Motivatie waarom niet gecontroleerd/uitgevoerd:",B24&lt;=1,"Eventuele toelichting:",B24=2,"Toelichting op afwijking(en) en herstelactie(s):",B24=3,"Toelichting op afwijking(en), advies vervolgstappen:"))</f>
        <v/>
      </c>
      <c r="J24" s="65"/>
    </row>
    <row r="25" spans="1:10">
      <c r="A25" s="64" t="s">
        <v>75</v>
      </c>
      <c r="B25" s="96">
        <f>IF(ISNUMBER(SEARCH("niet van toepassing",J25))+ISNUMBER(SEARCH("buiten scope",J25))+ISNUMBER(SEARCH("nvt",J25)),"nvt",IF(Inputblad!C$3&lt;1,"nvt",IF(D25=FALSE,0,IF((F25+H25)=0,1,IF((F25+H25)=2,2,3)))))</f>
        <v>0</v>
      </c>
      <c r="C25" s="64" t="s">
        <v>67</v>
      </c>
      <c r="D25" s="85" t="b">
        <v>0</v>
      </c>
      <c r="E25" s="92" t="s">
        <v>68</v>
      </c>
      <c r="F25" s="97" t="b">
        <v>0</v>
      </c>
      <c r="G25" s="92" t="s">
        <v>107</v>
      </c>
      <c r="H25" s="97" t="b">
        <v>0</v>
      </c>
      <c r="I25" s="64" t="str" cm="1">
        <f t="array" ref="I25">IF(B25="nvt","",_xlfn.IFS(B25="","",B25=0,"Motivatie waarom niet gecontroleerd/uitgevoerd:",B25&lt;=1,"Eventuele toelichting:",B25=2,"Toelichting op afwijking(en) en herstelactie(s):",B25=3,"Toelichting op afwijking(en), advies vervolgstappen:"))</f>
        <v>Motivatie waarom niet gecontroleerd/uitgevoerd:</v>
      </c>
      <c r="J25" s="65"/>
    </row>
    <row r="26" spans="1:10">
      <c r="A26" s="64" t="s">
        <v>76</v>
      </c>
      <c r="B26" s="96">
        <f>IF(ISNUMBER(SEARCH("niet van toepassing",J26))+ISNUMBER(SEARCH("buiten scope",J26))+ISNUMBER(SEARCH("nvt",J26)),"nvt",IF(Inputblad!C$3&lt;1,"nvt",IF(D26=FALSE,0,IF((F26+H26)=0,1,IF((F26+H26)=2,2,3)))))</f>
        <v>0</v>
      </c>
      <c r="C26" s="64" t="s">
        <v>67</v>
      </c>
      <c r="D26" s="85" t="b">
        <v>0</v>
      </c>
      <c r="E26" s="92" t="s">
        <v>68</v>
      </c>
      <c r="F26" s="97" t="b">
        <v>0</v>
      </c>
      <c r="G26" s="92" t="s">
        <v>107</v>
      </c>
      <c r="H26" s="97" t="b">
        <v>0</v>
      </c>
      <c r="I26" s="64" t="str" cm="1">
        <f t="array" ref="I26">IF(B26="nvt","",_xlfn.IFS(B26="","",B26=0,"Motivatie waarom niet gecontroleerd/uitgevoerd:",B26&lt;=1,"Eventuele toelichting:",B26=2,"Toelichting op afwijking(en) en herstelactie(s):",B26=3,"Toelichting op afwijking(en), advies vervolgstappen:"))</f>
        <v>Motivatie waarom niet gecontroleerd/uitgevoerd:</v>
      </c>
      <c r="J26" s="65"/>
    </row>
    <row r="27" spans="1:10">
      <c r="G27" s="92"/>
    </row>
    <row r="28" spans="1:10">
      <c r="A28" s="69" t="s">
        <v>78</v>
      </c>
      <c r="B28" s="91">
        <f>IF(Inputblad!C3&lt;1,"nvt",(COUNTA(B29:B32)-COUNTIF(B29:B32,0)-COUNTIF(B29:B32,"nvt"))/(COUNTA(B29:B32)-COUNTIF(B29:B32,"nvt")))</f>
        <v>0</v>
      </c>
      <c r="C28" s="69" t="str">
        <f>IF(B28="nvt","","uitgevoerd")</f>
        <v>uitgevoerd</v>
      </c>
      <c r="E28" s="92" t="str">
        <f>IF(B28="nvt","","Geconstateerde afwijkingen:")</f>
        <v>Geconstateerde afwijkingen:</v>
      </c>
      <c r="F28" s="93">
        <f>IF(B28="nvt","",COUNTIF(F29:F32,TRUE))</f>
        <v>0</v>
      </c>
      <c r="G28" s="64" t="str">
        <f>IF(B28="nvt","","en direct hersteld:")</f>
        <v>en direct hersteld:</v>
      </c>
      <c r="H28" s="80">
        <f>IF(B28="nvt","",COUNTIF(H29:H32,TRUE))</f>
        <v>0</v>
      </c>
      <c r="J28" s="65"/>
    </row>
    <row r="29" spans="1:10">
      <c r="A29" s="64" t="s">
        <v>112</v>
      </c>
      <c r="B29" s="96">
        <f>IF(ISNUMBER(SEARCH("niet van toepassing",J29))+ISNUMBER(SEARCH("buiten scope",J29))+ISNUMBER(SEARCH("nvt",J29)),"nvt",IF(Inputblad!C$3&lt;1,"nvt",IF(D29=FALSE,0,IF((F29+H29)=0,1,IF((F29+H29)=2,2,3)))))</f>
        <v>0</v>
      </c>
      <c r="C29" s="64" t="s">
        <v>67</v>
      </c>
      <c r="D29" s="85" t="b">
        <v>0</v>
      </c>
      <c r="E29" s="92" t="s">
        <v>68</v>
      </c>
      <c r="F29" s="97" t="b">
        <v>0</v>
      </c>
      <c r="G29" s="92" t="s">
        <v>107</v>
      </c>
      <c r="H29" s="97" t="b">
        <v>0</v>
      </c>
      <c r="I29" s="64" t="str" cm="1">
        <f t="array" ref="I29">IF(B29="nvt","",_xlfn.IFS(B29="","",B29=0,"Motivatie waarom niet gecontroleerd/uitgevoerd:",B29&lt;=1,"Eventuele toelichting:",B29=2,"Toelichting op afwijking(en) en herstelactie(s):",B29=3,"Toelichting op afwijking(en), advies vervolgstappen:"))</f>
        <v>Motivatie waarom niet gecontroleerd/uitgevoerd:</v>
      </c>
      <c r="J29" s="65"/>
    </row>
    <row r="30" spans="1:10">
      <c r="A30" s="64" t="s">
        <v>74</v>
      </c>
      <c r="B30" s="96">
        <f>IF(ISNUMBER(SEARCH("niet van toepassing",J30))+ISNUMBER(SEARCH("buiten scope",J30))+ISNUMBER(SEARCH("nvt",J30)),"nvt",IF(Inputblad!C3&lt;1,"nvt",IF(B7=0,"nvt",IF(D30=FALSE,0,IF((F30+H30)=0,1,IF((F30+H30)=2,2,3))))))</f>
        <v>0</v>
      </c>
      <c r="C30" s="64" t="s">
        <v>67</v>
      </c>
      <c r="D30" s="85" t="b">
        <v>0</v>
      </c>
      <c r="E30" s="92" t="s">
        <v>68</v>
      </c>
      <c r="F30" s="97" t="b">
        <v>0</v>
      </c>
      <c r="G30" s="92" t="s">
        <v>107</v>
      </c>
      <c r="H30" s="97" t="b">
        <v>0</v>
      </c>
      <c r="I30" s="64" t="str" cm="1">
        <f t="array" ref="I30">IF(B30="nvt","",_xlfn.IFS(B30="","",B30=0,"Motivatie waarom niet gecontroleerd/uitgevoerd:",B30&lt;=1,"Eventuele toelichting:",B30=2,"Toelichting op afwijking(en) en herstelactie(s):",B30=3,"Toelichting op afwijking(en), advies vervolgstappen:"))</f>
        <v>Motivatie waarom niet gecontroleerd/uitgevoerd:</v>
      </c>
      <c r="J30" s="65"/>
    </row>
    <row r="31" spans="1:10">
      <c r="A31" s="64" t="s">
        <v>115</v>
      </c>
      <c r="B31" s="96" t="str">
        <f>IF(ISNUMBER(SEARCH("niet van toepassing",J31))+ISNUMBER(SEARCH("buiten scope",J31))+ISNUMBER(SEARCH("nvt",J31)),"nvt",IF(C8=TRUE,IF(D31=FALSE,0,IF((F31+H31)=0,1,IF((F31+H31)=2,2,3))),"nvt"))</f>
        <v>nvt</v>
      </c>
      <c r="C31" s="64" t="s">
        <v>67</v>
      </c>
      <c r="D31" s="85" t="b">
        <v>0</v>
      </c>
      <c r="E31" s="92" t="s">
        <v>68</v>
      </c>
      <c r="F31" s="97" t="b">
        <v>0</v>
      </c>
      <c r="G31" s="92" t="s">
        <v>107</v>
      </c>
      <c r="H31" s="97" t="b">
        <v>0</v>
      </c>
      <c r="I31" s="64" t="str" cm="1">
        <f t="array" ref="I31">IF(B31="nvt","",_xlfn.IFS(B31="","",B31=0,"Motivatie waarom niet gecontroleerd/uitgevoerd:",B31&lt;=1,"Eventuele toelichting:",B31=2,"Toelichting op afwijking(en) en herstelactie(s):",B31=3,"Toelichting op afwijking(en), advies vervolgstappen:"))</f>
        <v/>
      </c>
      <c r="J31" s="65"/>
    </row>
    <row r="32" spans="1:10">
      <c r="A32" s="64" t="s">
        <v>113</v>
      </c>
      <c r="B32" s="96">
        <f>IF(ISNUMBER(SEARCH("niet van toepassing",J32))+ISNUMBER(SEARCH("buiten scope",J32))+ISNUMBER(SEARCH("nvt",J32)),"nvt",IF(Inputblad!C$3&lt;1,"nvt",IF(D32=FALSE,0,IF((F32+H32)=0,1,IF((F32+H32)=2,2,3)))))</f>
        <v>0</v>
      </c>
      <c r="C32" s="64" t="s">
        <v>67</v>
      </c>
      <c r="D32" s="85" t="b">
        <v>0</v>
      </c>
      <c r="E32" s="92" t="s">
        <v>68</v>
      </c>
      <c r="F32" s="97" t="b">
        <v>0</v>
      </c>
      <c r="G32" s="92" t="s">
        <v>107</v>
      </c>
      <c r="H32" s="97" t="b">
        <v>0</v>
      </c>
      <c r="I32" s="64" t="str" cm="1">
        <f t="array" ref="I32">IF(B32="nvt","",_xlfn.IFS(B32="","",B32=0,"Motivatie waarom niet gecontroleerd/uitgevoerd:",B32&lt;=1,"Eventuele toelichting:",B32=2,"Toelichting op afwijking(en) en herstelactie(s):",B32=3,"Toelichting op afwijking(en), advies vervolgstappen:"))</f>
        <v>Motivatie waarom niet gecontroleerd/uitgevoerd:</v>
      </c>
      <c r="J32" s="65"/>
    </row>
    <row r="33" spans="1:10">
      <c r="G33" s="92"/>
    </row>
    <row r="34" spans="1:10">
      <c r="A34" s="69" t="s">
        <v>151</v>
      </c>
      <c r="B34" s="91" t="e">
        <f>IF(Inputblad!C3&lt;1,"nvt",(COUNTA(B35:B44)-COUNTIF(B35:B44,0)-COUNTIF(B35:B44,"nvt"))/(COUNTA(B35:B44)-COUNTIF(B35:B44,"nvt")))</f>
        <v>#DIV/0!</v>
      </c>
      <c r="C34" s="69" t="e">
        <f>IF(B34="nvt","","uitgevoerd")</f>
        <v>#DIV/0!</v>
      </c>
      <c r="E34" s="92" t="e">
        <f>IF(B34="nvt","","Geconstateerde afwijkingen:")</f>
        <v>#DIV/0!</v>
      </c>
      <c r="F34" s="93" t="e">
        <f>IF(B34="nvt","",COUNTIF(F35:F40,TRUE))</f>
        <v>#DIV/0!</v>
      </c>
      <c r="G34" s="64" t="e">
        <f>IF(B34="nvt","","en direct hersteld:")</f>
        <v>#DIV/0!</v>
      </c>
      <c r="H34" s="80" t="e">
        <f>IF(B34="nvt","",COUNTIF(H35:H40,TRUE))</f>
        <v>#DIV/0!</v>
      </c>
      <c r="J34" s="65"/>
    </row>
    <row r="35" spans="1:10">
      <c r="A35" s="64" t="s">
        <v>77</v>
      </c>
      <c r="B35" s="96" t="str">
        <f>IF(ISNUMBER(SEARCH("niet van toepassing",J35))+ISNUMBER(SEARCH("buiten scope",J35))+ISNUMBER(SEARCH("nvt",J35)),"nvt",IF(Inputblad!B$24&gt;0,IF(D35=FALSE,0,IF((F35+H35)=0,1,IF((F35+H35)=2,2,3))),"nvt"))</f>
        <v>nvt</v>
      </c>
      <c r="C35" s="64" t="s">
        <v>67</v>
      </c>
      <c r="D35" s="85" t="b">
        <v>0</v>
      </c>
      <c r="E35" s="92" t="s">
        <v>68</v>
      </c>
      <c r="F35" s="97" t="b">
        <v>0</v>
      </c>
      <c r="G35" s="92" t="s">
        <v>107</v>
      </c>
      <c r="H35" s="97" t="b">
        <v>0</v>
      </c>
      <c r="I35" s="64" t="str" cm="1">
        <f t="array" ref="I35">IF(B35="nvt","",_xlfn.IFS(B35="","",B35=0,"Motivatie waarom niet gecontroleerd/uitgevoerd:",B35&lt;=1,"Eventuele toelichting:",B35=2,"Toelichting op afwijking(en) en herstelactie(s):",B35=3,"Toelichting op afwijking(en), advies vervolgstappen:"))</f>
        <v/>
      </c>
      <c r="J35" s="65"/>
    </row>
    <row r="36" spans="1:10">
      <c r="A36" s="64" t="s">
        <v>80</v>
      </c>
      <c r="B36" s="96" t="str">
        <f>IF(ISNUMBER(SEARCH("niet van toepassing",J36))+ISNUMBER(SEARCH("buiten scope",J36))+ISNUMBER(SEARCH("nvt",J36)),"nvt",IF(Inputblad!B$24&gt;0,IF(D36=FALSE,0,IF((F36+H36)=0,1,IF((F36+H36)=2,2,3))),"nvt"))</f>
        <v>nvt</v>
      </c>
      <c r="C36" s="64" t="s">
        <v>67</v>
      </c>
      <c r="D36" s="85" t="b">
        <v>0</v>
      </c>
      <c r="E36" s="92" t="s">
        <v>68</v>
      </c>
      <c r="F36" s="97" t="b">
        <v>0</v>
      </c>
      <c r="G36" s="92" t="s">
        <v>107</v>
      </c>
      <c r="H36" s="97" t="b">
        <v>0</v>
      </c>
      <c r="I36" s="64" t="str" cm="1">
        <f t="array" ref="I36">IF(B36="nvt","",_xlfn.IFS(B36="","",B36=0,"Motivatie waarom niet gecontroleerd/uitgevoerd:",B36&lt;=1,"Eventuele toelichting:",B36=2,"Toelichting op afwijking(en) en herstelactie(s):",B36=3,"Toelichting op afwijking(en), advies vervolgstappen:"))</f>
        <v/>
      </c>
      <c r="J36" s="65"/>
    </row>
    <row r="37" spans="1:10">
      <c r="A37" s="64" t="s">
        <v>66</v>
      </c>
      <c r="B37" s="96" t="str">
        <f>IF(ISNUMBER(SEARCH("niet van toepassing",J37))+ISNUMBER(SEARCH("buiten scope",J37))+ISNUMBER(SEARCH("nvt",J37)),"nvt",IF(Inputblad!B$24&gt;0,IF(D37=FALSE,0,IF((F37+H37)=0,1,IF((F37+H37)=2,2,3))),"nvt"))</f>
        <v>nvt</v>
      </c>
      <c r="C37" s="64" t="s">
        <v>67</v>
      </c>
      <c r="D37" s="85" t="b">
        <v>0</v>
      </c>
      <c r="E37" s="92" t="s">
        <v>68</v>
      </c>
      <c r="F37" s="97" t="b">
        <v>0</v>
      </c>
      <c r="G37" s="92" t="s">
        <v>107</v>
      </c>
      <c r="H37" s="97" t="b">
        <v>0</v>
      </c>
      <c r="I37" s="64" t="str" cm="1">
        <f t="array" ref="I37">IF(B37="nvt","",_xlfn.IFS(B37="","",B37=0,"Motivatie waarom niet gecontroleerd/uitgevoerd:",B37&lt;=1,"Eventuele toelichting:",B37=2,"Toelichting op afwijking(en) en herstelactie(s):",B37=3,"Toelichting op afwijking(en), advies vervolgstappen:"))</f>
        <v/>
      </c>
      <c r="J37" s="65"/>
    </row>
    <row r="38" spans="1:10">
      <c r="A38" s="64" t="s">
        <v>152</v>
      </c>
      <c r="B38" s="96" t="str">
        <f>IF(ISNUMBER(SEARCH("niet van toepassing",J38))+ISNUMBER(SEARCH("buiten scope",J38))+ISNUMBER(SEARCH("nvt",J38)),"nvt",IF(Inputblad!B$24=1,IF(D38=FALSE,0,IF((F38+H38)=0,1,IF((F38+H38)=2,2,3))),"nvt"))</f>
        <v>nvt</v>
      </c>
      <c r="C38" s="64" t="s">
        <v>21</v>
      </c>
      <c r="D38" s="85" t="b">
        <v>0</v>
      </c>
      <c r="E38" s="92" t="s">
        <v>68</v>
      </c>
      <c r="F38" s="97" t="b">
        <v>0</v>
      </c>
      <c r="G38" s="92" t="s">
        <v>107</v>
      </c>
      <c r="H38" s="97" t="b">
        <v>0</v>
      </c>
      <c r="I38" s="64" t="str" cm="1">
        <f t="array" ref="I38">IF(B38="nvt","",_xlfn.IFS(B38="","",B38=0,"Motivatie waarom niet gecontroleerd/uitgevoerd:",B38&lt;=1,"Eventuele toelichting:",B38=2,"Toelichting op afwijking(en) en herstelactie(s):",B38=3,"Toelichting op afwijking(en), advies vervolgstappen:"))</f>
        <v/>
      </c>
      <c r="J38" s="65"/>
    </row>
    <row r="39" spans="1:10">
      <c r="A39" s="64" t="s">
        <v>114</v>
      </c>
      <c r="B39" s="96" t="str">
        <f>IF(ISNUMBER(SEARCH("niet van toepassing",J39))+ISNUMBER(SEARCH("buiten scope",J39))+ISNUMBER(SEARCH("nvt",J39)),"nvt",IF(Inputblad!B$24=1,IF(D39=FALSE,0,IF((F39+H39)=0,1,IF((F39+H39)=2,2,3))),"nvt"))</f>
        <v>nvt</v>
      </c>
      <c r="C39" s="64" t="s">
        <v>67</v>
      </c>
      <c r="D39" s="85" t="b">
        <v>0</v>
      </c>
      <c r="E39" s="92" t="s">
        <v>68</v>
      </c>
      <c r="F39" s="97" t="b">
        <v>0</v>
      </c>
      <c r="G39" s="92" t="s">
        <v>107</v>
      </c>
      <c r="H39" s="97" t="b">
        <v>0</v>
      </c>
      <c r="I39" s="64" t="str" cm="1">
        <f t="array" ref="I39">IF(B39="nvt","",_xlfn.IFS(B39="","",B39=0,"Motivatie waarom niet gecontroleerd/uitgevoerd:",B39&lt;=1,"Eventuele toelichting:",B39=2,"Toelichting op afwijking(en) en herstelactie(s):",B39=3,"Toelichting op afwijking(en), advies vervolgstappen:"))</f>
        <v/>
      </c>
      <c r="J39" s="65"/>
    </row>
    <row r="40" spans="1:10">
      <c r="A40" s="64" t="s">
        <v>164</v>
      </c>
      <c r="B40" s="96" t="str">
        <f>IF(ISNUMBER(SEARCH("niet van toepassing",J40))+ISNUMBER(SEARCH("buiten scope",J40))+ISNUMBER(SEARCH("nvt",J40)),"nvt",IF(Inputblad!B24=1,IF(Inputblad!C24=1,IF(D40=FALSE,0,IF((F40+H40)=0,1,IF((F40+H40)=2,2,3)))),"nvt"))</f>
        <v>nvt</v>
      </c>
      <c r="C40" s="64" t="s">
        <v>21</v>
      </c>
      <c r="D40" s="85" t="b">
        <v>0</v>
      </c>
      <c r="E40" s="92" t="s">
        <v>68</v>
      </c>
      <c r="F40" s="97" t="b">
        <v>0</v>
      </c>
      <c r="G40" s="92" t="s">
        <v>107</v>
      </c>
      <c r="H40" s="97" t="b">
        <v>0</v>
      </c>
      <c r="I40" s="64" t="str" cm="1">
        <f t="array" ref="I40">IF(B40="nvt","",_xlfn.IFS(B40="","",B40=0,"Motivatie waarom niet gecontroleerd/uitgevoerd:",B40&lt;=1,"Eventuele toelichting:",B40=2,"Toelichting op afwijking(en) en herstelactie(s):",B40=3,"Toelichting op afwijking(en), advies vervolgstappen:"))</f>
        <v/>
      </c>
      <c r="J40" s="65"/>
    </row>
    <row r="41" spans="1:10">
      <c r="A41" s="64" t="s">
        <v>160</v>
      </c>
      <c r="B41" s="96" t="str">
        <f>IF(ISNUMBER(SEARCH("niet van toepassing",J41))+ISNUMBER(SEARCH("buiten scope",J41))+ISNUMBER(SEARCH("nvt",J41)),"nvt",IF(Inputblad!B$24=1,IF(D41=FALSE,0,IF((F41+H41)=0,1,IF((F41+H41)=2,2,3))),"nvt"))</f>
        <v>nvt</v>
      </c>
      <c r="C41" s="64" t="s">
        <v>21</v>
      </c>
      <c r="D41" s="85" t="b">
        <v>0</v>
      </c>
      <c r="E41" s="92" t="s">
        <v>68</v>
      </c>
      <c r="F41" s="97" t="b">
        <v>0</v>
      </c>
      <c r="G41" s="92" t="s">
        <v>107</v>
      </c>
      <c r="H41" s="97" t="b">
        <v>0</v>
      </c>
      <c r="I41" s="64" t="str" cm="1">
        <f t="array" ref="I41">IF(B41="nvt","",_xlfn.IFS(B41="","",B41=0,"Motivatie waarom niet gecontroleerd/uitgevoerd:",B41&lt;=1,"Eventuele toelichting:",B41=2,"Toelichting op afwijking(en) en herstelactie(s):",B41=3,"Toelichting op afwijking(en), advies vervolgstappen:"))</f>
        <v/>
      </c>
      <c r="J41" s="65"/>
    </row>
    <row r="42" spans="1:10">
      <c r="A42" s="64" t="s">
        <v>159</v>
      </c>
      <c r="B42" s="96" t="str">
        <f>IF(ISNUMBER(SEARCH("niet van toepassing",J42))+ISNUMBER(SEARCH("buiten scope",J42))+ISNUMBER(SEARCH("nvt",J42)),"nvt",IF(Inputblad!B24=1,IF(Inputblad!C3&lt;1,"nvt",IF(D42=FALSE,0,IF((F42+H42)=0,1,IF((F42+H42)=2,2,3)))),"nvt"))</f>
        <v>nvt</v>
      </c>
      <c r="C42" s="64" t="s">
        <v>67</v>
      </c>
      <c r="D42" s="85" t="b">
        <v>0</v>
      </c>
      <c r="E42" s="92" t="s">
        <v>68</v>
      </c>
      <c r="F42" s="97" t="b">
        <v>0</v>
      </c>
      <c r="G42" s="92" t="s">
        <v>107</v>
      </c>
      <c r="H42" s="97" t="b">
        <v>0</v>
      </c>
      <c r="I42" s="64" t="str" cm="1">
        <f t="array" ref="I42">IF(B42="nvt","",_xlfn.IFS(B42="","",B42=0,"Motivatie waarom niet gecontroleerd/uitgevoerd:",B42&lt;=1,"Eventuele toelichting:",B42=2,"Toelichting op afwijking(en) en herstelactie(s):",B42=3,"Toelichting op afwijking(en), advies vervolgstappen:"))</f>
        <v/>
      </c>
      <c r="J42" s="65"/>
    </row>
    <row r="43" spans="1:10">
      <c r="A43" s="64" t="s">
        <v>65</v>
      </c>
      <c r="B43" s="96" t="str">
        <f>IF(ISNUMBER(SEARCH("niet van toepassing",J43))+ISNUMBER(SEARCH("buiten scope",J43))+ISNUMBER(SEARCH("nvt",J43)),"nvt",IF(Inputblad!B$24=1,IF(Inputblad!C$3&lt;1,"nvt",IF(D43=FALSE,0,IF((F43+H43)=0,1,IF((F43+H43)=2,2,3)))),"nvt"))</f>
        <v>nvt</v>
      </c>
      <c r="C43" s="64" t="s">
        <v>67</v>
      </c>
      <c r="D43" s="85" t="b">
        <v>0</v>
      </c>
      <c r="E43" s="92" t="s">
        <v>68</v>
      </c>
      <c r="F43" s="97" t="b">
        <v>0</v>
      </c>
      <c r="G43" s="92" t="s">
        <v>107</v>
      </c>
      <c r="H43" s="97" t="b">
        <v>0</v>
      </c>
      <c r="I43" s="64" t="str" cm="1">
        <f t="array" ref="I43">IF(B43="nvt","",_xlfn.IFS(B43="","",B43=0,"Motivatie waarom niet gecontroleerd/uitgevoerd:",B43&lt;=1,"Eventuele toelichting:",B43=2,"Toelichting op afwijking(en) en herstelactie(s):",B43=3,"Toelichting op afwijking(en), advies vervolgstappen:"))</f>
        <v/>
      </c>
      <c r="J43" s="65"/>
    </row>
    <row r="44" spans="1:10">
      <c r="A44" s="64" t="s">
        <v>172</v>
      </c>
      <c r="B44" s="96" t="str">
        <f>IF(ISNUMBER(SEARCH("niet van toepassing",J44))+ISNUMBER(SEARCH("buiten scope",J44))+ISNUMBER(SEARCH("nvt",J44)),"nvt",IF(Inputblad!B24=1,IF(Inputblad!C3&lt;1,"nvt",IF(D44=FALSE,0,IF((F44+H44)=0,1,IF((F44+H44)=2,2,3)))),"nvt"))</f>
        <v>nvt</v>
      </c>
      <c r="C44" s="64" t="s">
        <v>67</v>
      </c>
      <c r="D44" s="85" t="b">
        <v>0</v>
      </c>
      <c r="E44" s="92" t="s">
        <v>68</v>
      </c>
      <c r="F44" s="97" t="b">
        <v>0</v>
      </c>
      <c r="G44" s="92" t="s">
        <v>107</v>
      </c>
      <c r="H44" s="97" t="b">
        <v>0</v>
      </c>
      <c r="I44" s="64" t="str" cm="1">
        <f t="array" ref="I44">IF(B44="nvt","",_xlfn.IFS(B44="","",B44=0,"Motivatie waarom niet gecontroleerd/uitgevoerd:",B44&lt;=1,"Eventuele toelichting:",B44=2,"Toelichting op afwijking(en) en herstelactie(s):",B44=3,"Toelichting op afwijking(en), advies vervolgstappen:"))</f>
        <v/>
      </c>
      <c r="J44" s="65"/>
    </row>
    <row r="46" spans="1:10">
      <c r="A46" s="69" t="s">
        <v>153</v>
      </c>
      <c r="B46" s="91">
        <f>IF(Inputblad!C3&lt;1,"nvt",((COUNTA(B47:B67)-COUNTIF(B47:B67,0)-COUNTIF(B47:B67,"nvt"))/(COUNTA(B47:B67)-COUNTIF(B47:B67,"nvt"))))</f>
        <v>0</v>
      </c>
      <c r="C46" s="69" t="str">
        <f>IF(B46="nvt","","uitgevoerd")</f>
        <v>uitgevoerd</v>
      </c>
      <c r="E46" s="92" t="str">
        <f>IF(B46="nvt","","Geconstateerde afwijkingen:")</f>
        <v>Geconstateerde afwijkingen:</v>
      </c>
      <c r="F46" s="93">
        <f>IF(B46="nvt","",COUNTIF(F47:F67,TRUE))</f>
        <v>0</v>
      </c>
      <c r="G46" s="64" t="str">
        <f>IF(B46="nvt","","en direct hersteld:")</f>
        <v>en direct hersteld:</v>
      </c>
      <c r="H46" s="80">
        <f>IF(B46="nvt","",COUNTIF(H47:H67,TRUE))</f>
        <v>0</v>
      </c>
      <c r="J46" s="65"/>
    </row>
    <row r="47" spans="1:10">
      <c r="A47" s="64" t="s">
        <v>154</v>
      </c>
      <c r="B47" s="96" t="str">
        <f>IF(ISNUMBER(SEARCH("niet van toepassing",J47))+ISNUMBER(SEARCH("buiten scope",J47))+ISNUMBER(SEARCH("nvt",J47)),"nvt",IF(Inputblad!B$24=1,IF(Inputblad!C$3&lt;1,"nvt",IF(D47=FALSE,0,IF((F47+H47)=0,1,IF((F47+H47)=2,2,3)))),"nvt"))</f>
        <v>nvt</v>
      </c>
      <c r="C47" s="64" t="s">
        <v>67</v>
      </c>
      <c r="D47" s="85" t="b">
        <v>0</v>
      </c>
      <c r="E47" s="92" t="s">
        <v>68</v>
      </c>
      <c r="F47" s="97" t="b">
        <v>0</v>
      </c>
      <c r="G47" s="92" t="s">
        <v>107</v>
      </c>
      <c r="H47" s="97" t="b">
        <v>0</v>
      </c>
      <c r="I47" s="64" t="str" cm="1">
        <f t="array" ref="I47">IF(B47="nvt","",_xlfn.IFS(B47="","",B47=0,"Motivatie waarom niet gecontroleerd/uitgevoerd:",B47&lt;=1,"Eventuele toelichting:",B47=2,"Toelichting op afwijking(en) en herstelactie(s):",B47=3,"Toelichting op afwijking(en), advies vervolgstappen:"))</f>
        <v/>
      </c>
      <c r="J47" s="65"/>
    </row>
    <row r="48" spans="1:10">
      <c r="A48" s="64" t="s">
        <v>216</v>
      </c>
      <c r="B48" s="96" t="str">
        <f>IF(ISNUMBER(SEARCH("niet van toepassing",J48))+ISNUMBER(SEARCH("buiten scope",J48))+ISNUMBER(SEARCH("nvt",J48)),"nvt",IF(Inputblad!B$24=1,IF(Inputblad!C$3&lt;1,"nvt",IF(D48=FALSE,0,IF((F48+H48)=0,1,IF((F48+H48)=2,2,3)))),"nvt"))</f>
        <v>nvt</v>
      </c>
      <c r="C48" s="64" t="s">
        <v>67</v>
      </c>
      <c r="D48" s="85" t="b">
        <v>0</v>
      </c>
      <c r="E48" s="92" t="s">
        <v>68</v>
      </c>
      <c r="F48" s="97" t="b">
        <v>0</v>
      </c>
      <c r="G48" s="92" t="s">
        <v>107</v>
      </c>
      <c r="H48" s="97"/>
      <c r="I48" s="64" t="str" cm="1">
        <f t="array" ref="I48">IF(B48="nvt","",_xlfn.IFS(B48="","",B48=0,"Motivatie waarom niet gecontroleerd/uitgevoerd:",B48&lt;=1,"Eventuele toelichting:",B48=2,"Toelichting op afwijking(en) en herstelactie(s):",B48=3,"Toelichting op afwijking(en), advies vervolgstappen:"))</f>
        <v/>
      </c>
      <c r="J48" s="65"/>
    </row>
    <row r="49" spans="1:10">
      <c r="A49" s="64" t="s">
        <v>157</v>
      </c>
      <c r="B49" s="96">
        <f>IF(ISNUMBER(SEARCH("niet van toepassing",J49))+ISNUMBER(SEARCH("buiten scope",J49))+ISNUMBER(SEARCH("nvt",J49)),"nvt",IF(Inputblad!C3&lt;2,"nvt",IF(D49=FALSE,0,IF((F49+H49)=0,1,IF((F49+H49)=2,2,3)))))</f>
        <v>0</v>
      </c>
      <c r="C49" s="64" t="s">
        <v>67</v>
      </c>
      <c r="D49" s="85" t="b">
        <v>0</v>
      </c>
      <c r="E49" s="92" t="s">
        <v>68</v>
      </c>
      <c r="F49" s="97" t="b">
        <v>0</v>
      </c>
      <c r="G49" s="92" t="s">
        <v>107</v>
      </c>
      <c r="H49" s="97" t="b">
        <v>0</v>
      </c>
      <c r="I49" s="64" t="str" cm="1">
        <f t="array" ref="I49">IF(B49="nvt","",_xlfn.IFS(B49="","",B49=0,"Motivatie waarom niet gecontroleerd/uitgevoerd:",B49&lt;=1,"Eventuele toelichting:",B49=2,"Toelichting op afwijking(en) en herstelactie(s):",B49=3,"Toelichting op afwijking(en), advies vervolgstappen:"))</f>
        <v>Motivatie waarom niet gecontroleerd/uitgevoerd:</v>
      </c>
      <c r="J49" s="65"/>
    </row>
    <row r="50" spans="1:10">
      <c r="A50" s="64" t="s">
        <v>158</v>
      </c>
      <c r="B50" s="96" t="str">
        <f>IF(ISNUMBER(SEARCH("niet van toepassing",J50))+ISNUMBER(SEARCH("buiten scope",J50))+ISNUMBER(SEARCH("nvt",J50)),"nvt",IF(Inputblad!B$24=1,IF(Inputblad!C$3&lt;2,"nvt",IF(D50=FALSE,0,IF((F50+H50)=0,1,IF((F50+H50)=2,2,3)))),"nvt"))</f>
        <v>nvt</v>
      </c>
      <c r="C50" s="64" t="s">
        <v>67</v>
      </c>
      <c r="D50" s="85" t="b">
        <v>0</v>
      </c>
      <c r="E50" s="92" t="s">
        <v>68</v>
      </c>
      <c r="F50" s="97" t="b">
        <v>0</v>
      </c>
      <c r="G50" s="92" t="s">
        <v>107</v>
      </c>
      <c r="H50" s="97" t="b">
        <v>0</v>
      </c>
      <c r="I50" s="64" t="str" cm="1">
        <f t="array" ref="I50">IF(B50="nvt","",_xlfn.IFS(B50="","",B50=0,"Motivatie waarom niet gecontroleerd/uitgevoerd:",B50&lt;=1,"Eventuele toelichting:",B50=2,"Toelichting op afwijking(en) en herstelactie(s):",B50=3,"Toelichting op afwijking(en), advies vervolgstappen:"))</f>
        <v/>
      </c>
      <c r="J50" s="65"/>
    </row>
    <row r="51" spans="1:10">
      <c r="A51" s="64" t="s">
        <v>161</v>
      </c>
      <c r="B51" s="96">
        <f>IF(ISNUMBER(SEARCH("niet van toepassing",J51))+ISNUMBER(SEARCH("buiten scope",J51))+ISNUMBER(SEARCH("nvt",J51)),"nvt",IF(Inputblad!C$3&lt;1,"nvt",IF(D51=FALSE,0,IF((F51+H51)=0,1,IF((F51+H51)=2,2,3)))))</f>
        <v>0</v>
      </c>
      <c r="C51" s="64" t="s">
        <v>67</v>
      </c>
      <c r="D51" s="85" t="b">
        <v>0</v>
      </c>
      <c r="E51" s="92" t="s">
        <v>68</v>
      </c>
      <c r="F51" s="97" t="b">
        <v>0</v>
      </c>
      <c r="G51" s="92" t="s">
        <v>107</v>
      </c>
      <c r="H51" s="97" t="b">
        <v>0</v>
      </c>
      <c r="I51" s="64" t="str" cm="1">
        <f t="array" ref="I51">IF(B51="nvt","",_xlfn.IFS(B51="","",B51=0,"Motivatie waarom niet gecontroleerd/uitgevoerd:",B51&lt;=1,"Eventuele toelichting:",B51=2,"Toelichting op afwijking(en) en herstelactie(s):",B51=3,"Toelichting op afwijking(en), advies vervolgstappen:"))</f>
        <v>Motivatie waarom niet gecontroleerd/uitgevoerd:</v>
      </c>
      <c r="J51" s="65"/>
    </row>
    <row r="52" spans="1:10">
      <c r="A52" s="64" t="s">
        <v>223</v>
      </c>
      <c r="B52" s="96">
        <f>IF(ISNUMBER(SEARCH("niet van toepassing",J52))+ISNUMBER(SEARCH("buiten scope",J52))+ISNUMBER(SEARCH("nvt",J52)),"nvt",IF(Inputblad!C$3&lt;1,"nvt",IF(D52=FALSE,0,IF((F52+H52)=0,1,IF((F52+H52)=2,2,3)))))</f>
        <v>0</v>
      </c>
      <c r="C52" s="64" t="s">
        <v>67</v>
      </c>
      <c r="D52" s="85" t="b">
        <v>0</v>
      </c>
      <c r="E52" s="92" t="s">
        <v>68</v>
      </c>
      <c r="F52" s="97" t="b">
        <v>0</v>
      </c>
      <c r="G52" s="92" t="s">
        <v>107</v>
      </c>
      <c r="H52" s="97" t="b">
        <v>0</v>
      </c>
      <c r="I52" s="64" t="str" cm="1">
        <f t="array" ref="I52">IF(B52="nvt","",_xlfn.IFS(B52="","",B52=0,"Motivatie waarom niet gecontroleerd/uitgevoerd:",B52&lt;=1,"Eventuele toelichting:",B52=2,"Toelichting op afwijking(en) en herstelactie(s):",B52=3,"Toelichting op afwijking(en), advies vervolgstappen:"))</f>
        <v>Motivatie waarom niet gecontroleerd/uitgevoerd:</v>
      </c>
      <c r="J52" s="65"/>
    </row>
    <row r="53" spans="1:10">
      <c r="A53" s="64" t="s">
        <v>224</v>
      </c>
      <c r="B53" s="96">
        <f>IF(ISNUMBER(SEARCH("niet van toepassing",J53))+ISNUMBER(SEARCH("buiten scope",J53))+ISNUMBER(SEARCH("nvt",J53)),"nvt",IF(Inputblad!C$3&lt;1,"nvt",IF(D53=FALSE,0,IF((F53+H53)=0,1,IF((F53+H53)=2,2,3)))))</f>
        <v>0</v>
      </c>
      <c r="C53" s="64" t="s">
        <v>67</v>
      </c>
      <c r="D53" s="85" t="b">
        <v>0</v>
      </c>
      <c r="E53" s="92" t="s">
        <v>68</v>
      </c>
      <c r="F53" s="97" t="b">
        <v>0</v>
      </c>
      <c r="G53" s="92" t="s">
        <v>107</v>
      </c>
      <c r="H53" s="97" t="b">
        <v>0</v>
      </c>
      <c r="I53" s="64" t="str" cm="1">
        <f t="array" ref="I53">IF(B53="nvt","",_xlfn.IFS(B53="","",B53=0,"Motivatie waarom niet gecontroleerd/uitgevoerd:",B53&lt;=1,"Eventuele toelichting:",B53=2,"Toelichting op afwijking(en) en herstelactie(s):",B53=3,"Toelichting op afwijking(en), advies vervolgstappen:"))</f>
        <v>Motivatie waarom niet gecontroleerd/uitgevoerd:</v>
      </c>
      <c r="J53" s="65"/>
    </row>
    <row r="54" spans="1:10">
      <c r="A54" s="64" t="s">
        <v>225</v>
      </c>
      <c r="B54" s="96">
        <f>IF(ISNUMBER(SEARCH("niet van toepassing",J54))+ISNUMBER(SEARCH("buiten scope",J54))+ISNUMBER(SEARCH("nvt",J54)),"nvt",IF(Inputblad!C$3&lt;1,"nvt",IF(D54=FALSE,0,IF((F54+H54)=0,1,IF((F54+H54)=2,2,3)))))</f>
        <v>0</v>
      </c>
      <c r="C54" s="64" t="s">
        <v>67</v>
      </c>
      <c r="D54" s="85" t="b">
        <v>0</v>
      </c>
      <c r="E54" s="92" t="s">
        <v>68</v>
      </c>
      <c r="F54" s="97" t="b">
        <v>0</v>
      </c>
      <c r="G54" s="92" t="s">
        <v>107</v>
      </c>
      <c r="H54" s="97"/>
      <c r="I54" s="64" t="str" cm="1">
        <f t="array" ref="I54">IF(B54="nvt","",_xlfn.IFS(B54="","",B54=0,"Motivatie waarom niet gecontroleerd/uitgevoerd:",B54&lt;=1,"Eventuele toelichting:",B54=2,"Toelichting op afwijking(en) en herstelactie(s):",B54=3,"Toelichting op afwijking(en), advies vervolgstappen:"))</f>
        <v>Motivatie waarom niet gecontroleerd/uitgevoerd:</v>
      </c>
      <c r="J54" s="65"/>
    </row>
    <row r="55" spans="1:10">
      <c r="A55" s="64" t="s">
        <v>162</v>
      </c>
      <c r="B55" s="96">
        <f>IF(ISNUMBER(SEARCH("niet van toepassing",J55))+ISNUMBER(SEARCH("buiten scope",J55))+ISNUMBER(SEARCH("nvt",J55)),"nvt",IF(Inputblad!C$3&lt;1,"nvt",IF(D55=FALSE,0,IF((F55+H55)=0,1,IF((F55+H55)=2,2,3)))))</f>
        <v>0</v>
      </c>
      <c r="C55" s="64" t="s">
        <v>21</v>
      </c>
      <c r="D55" s="85" t="b">
        <v>0</v>
      </c>
      <c r="E55" s="92" t="s">
        <v>68</v>
      </c>
      <c r="F55" s="97" t="b">
        <v>0</v>
      </c>
      <c r="G55" s="92" t="s">
        <v>107</v>
      </c>
      <c r="H55" s="97" t="b">
        <v>0</v>
      </c>
      <c r="I55" s="64" t="str" cm="1">
        <f t="array" ref="I55">IF(B55="nvt","",_xlfn.IFS(B55="","",B55=0,"Motivatie waarom niet gecontroleerd/uitgevoerd:",B55&lt;=1,"Eventuele toelichting:",B55=2,"Toelichting op afwijking(en) en herstelactie(s):",B55=3,"Toelichting op afwijking(en), advies vervolgstappen:"))</f>
        <v>Motivatie waarom niet gecontroleerd/uitgevoerd:</v>
      </c>
      <c r="J55" s="65"/>
    </row>
    <row r="56" spans="1:10">
      <c r="A56" s="64" t="s">
        <v>163</v>
      </c>
      <c r="B56" s="96">
        <f>IF(ISNUMBER(SEARCH("niet van toepassing",J56))+ISNUMBER(SEARCH("buiten scope",J56))+ISNUMBER(SEARCH("nvt",J56)),"nvt",IF(Inputblad!C$3&lt;1,"nvt",IF(D56=FALSE,0,IF((F56+H56)=0,1,IF((F56+H56)=2,2,3)))))</f>
        <v>0</v>
      </c>
      <c r="C56" s="64" t="s">
        <v>21</v>
      </c>
      <c r="D56" s="85" t="b">
        <v>0</v>
      </c>
      <c r="E56" s="92" t="s">
        <v>68</v>
      </c>
      <c r="F56" s="97" t="b">
        <v>0</v>
      </c>
      <c r="G56" s="92" t="s">
        <v>107</v>
      </c>
      <c r="H56" s="97" t="b">
        <v>0</v>
      </c>
      <c r="I56" s="64" t="str" cm="1">
        <f t="array" ref="I56">IF(B56="nvt","",_xlfn.IFS(B56="","",B56=0,"Motivatie waarom niet gecontroleerd/uitgevoerd:",B56&lt;=1,"Eventuele toelichting:",B56=2,"Toelichting op afwijking(en) en herstelactie(s):",B56=3,"Toelichting op afwijking(en), advies vervolgstappen:"))</f>
        <v>Motivatie waarom niet gecontroleerd/uitgevoerd:</v>
      </c>
      <c r="J56" s="65"/>
    </row>
    <row r="57" spans="1:10">
      <c r="A57" s="64" t="s">
        <v>165</v>
      </c>
      <c r="B57" s="96">
        <f>IF(ISNUMBER(SEARCH("niet van toepassing",J57))+ISNUMBER(SEARCH("buiten scope",J57))+ISNUMBER(SEARCH("nvt",J57)),"nvt",IF(Inputblad!C$3&lt;2,"nvt",IF(D57=FALSE,0,IF((F57+H57)=0,1,IF((F57+H57)=2,2,3)))))</f>
        <v>0</v>
      </c>
      <c r="C57" s="64" t="s">
        <v>67</v>
      </c>
      <c r="D57" s="85" t="b">
        <v>0</v>
      </c>
      <c r="E57" s="92" t="s">
        <v>68</v>
      </c>
      <c r="F57" s="97" t="b">
        <v>0</v>
      </c>
      <c r="G57" s="92" t="s">
        <v>107</v>
      </c>
      <c r="H57" s="97" t="b">
        <v>0</v>
      </c>
      <c r="I57" s="64" t="str" cm="1">
        <f t="array" ref="I57">IF(B57="nvt","",_xlfn.IFS(B57="","",B57=0,"Motivatie waarom niet gecontroleerd/uitgevoerd:",B57&lt;=1,"Eventuele toelichting:",B57=2,"Toelichting op afwijking(en) en herstelactie(s):",B57=3,"Toelichting op afwijking(en), advies vervolgstappen:"))</f>
        <v>Motivatie waarom niet gecontroleerd/uitgevoerd:</v>
      </c>
      <c r="J57" s="65"/>
    </row>
    <row r="58" spans="1:10">
      <c r="A58" s="64" t="s">
        <v>238</v>
      </c>
      <c r="B58" s="96">
        <f>IF(ISNUMBER(SEARCH("niet van toepassing",J58))+ISNUMBER(SEARCH("buiten scope",J58))+ISNUMBER(SEARCH("nvt",J58)),"nvt",IF(Inputblad!C$3&lt;1,"nvt",IF(D58=FALSE,0,IF((F58+H58)=0,1,IF((F58+H58)=2,2,3)))))</f>
        <v>0</v>
      </c>
      <c r="C58" s="64" t="s">
        <v>67</v>
      </c>
      <c r="D58" s="85" t="b">
        <v>0</v>
      </c>
      <c r="E58" s="92" t="s">
        <v>68</v>
      </c>
      <c r="F58" s="97" t="b">
        <v>0</v>
      </c>
      <c r="G58" s="92" t="s">
        <v>107</v>
      </c>
      <c r="H58" s="97" t="b">
        <v>0</v>
      </c>
      <c r="I58" s="64" t="str" cm="1">
        <f t="array" ref="I58">IF(B58="nvt","",_xlfn.IFS(B58="","",B58=0,"Motivatie waarom niet gecontroleerd/uitgevoerd:",B58&lt;=1,"Eventuele toelichting:",B58=2,"Toelichting op afwijking(en) en herstelactie(s):",B58=3,"Toelichting op afwijking(en), advies vervolgstappen:"))</f>
        <v>Motivatie waarom niet gecontroleerd/uitgevoerd:</v>
      </c>
      <c r="J58" s="65"/>
    </row>
    <row r="59" spans="1:10">
      <c r="A59" s="64" t="s">
        <v>156</v>
      </c>
      <c r="B59" s="96">
        <f>IF(ISNUMBER(SEARCH("niet van toepassing",J59))+ISNUMBER(SEARCH("buiten scope",J59))+ISNUMBER(SEARCH("nvt",J59)),"nvt",IF(Inputblad!C$3&lt;3,"nvt",IF(D59=FALSE,0,IF((F59+H59)=0,1,IF((F59+H59)=2,2,3)))))</f>
        <v>0</v>
      </c>
      <c r="C59" s="64" t="s">
        <v>67</v>
      </c>
      <c r="D59" s="85" t="b">
        <v>0</v>
      </c>
      <c r="E59" s="92" t="s">
        <v>68</v>
      </c>
      <c r="F59" s="97" t="b">
        <v>0</v>
      </c>
      <c r="G59" s="92" t="s">
        <v>107</v>
      </c>
      <c r="H59" s="97" t="b">
        <v>0</v>
      </c>
      <c r="I59" s="64" t="str" cm="1">
        <f t="array" ref="I59">IF(B59="nvt","",_xlfn.IFS(B59="","",B59=0,"Motivatie waarom niet gecontroleerd/uitgevoerd:",B59&lt;=1,"Eventuele toelichting:",B59=2,"Toelichting op afwijking(en) en herstelactie(s):",B59=3,"Toelichting op afwijking(en), advies vervolgstappen:"))</f>
        <v>Motivatie waarom niet gecontroleerd/uitgevoerd:</v>
      </c>
      <c r="J59" s="65"/>
    </row>
    <row r="60" spans="1:10">
      <c r="A60" s="64" t="s">
        <v>218</v>
      </c>
      <c r="B60" s="96">
        <f>IF(ISNUMBER(SEARCH("niet van toepassing",J60))+ISNUMBER(SEARCH("buiten scope",J60))+ISNUMBER(SEARCH("nvt",J60)),"nvt",IF(Inputblad!C$3&lt;3,"nvt",IF(D60=FALSE,0,IF((F60+H60)=0,1,IF((F60+H60)=2,2,3)))))</f>
        <v>0</v>
      </c>
      <c r="C60" s="64" t="s">
        <v>67</v>
      </c>
      <c r="D60" s="85" t="b">
        <v>0</v>
      </c>
      <c r="E60" s="92" t="s">
        <v>68</v>
      </c>
      <c r="F60" s="97" t="b">
        <v>0</v>
      </c>
      <c r="G60" s="92" t="s">
        <v>107</v>
      </c>
      <c r="H60" s="97" t="b">
        <v>0</v>
      </c>
      <c r="I60" s="64" t="str" cm="1">
        <f t="array" ref="I60">IF(B60="nvt","",_xlfn.IFS(B60="","",B60=0,"Motivatie waarom niet gecontroleerd/uitgevoerd:",B60&lt;=1,"Eventuele toelichting:",B60=2,"Toelichting op afwijking(en) en herstelactie(s):",B60=3,"Toelichting op afwijking(en), advies vervolgstappen:"))</f>
        <v>Motivatie waarom niet gecontroleerd/uitgevoerd:</v>
      </c>
      <c r="J60" s="65"/>
    </row>
    <row r="61" spans="1:10">
      <c r="A61" s="64" t="s">
        <v>219</v>
      </c>
      <c r="B61" s="96">
        <f>IF(ISNUMBER(SEARCH("niet van toepassing",J61))+ISNUMBER(SEARCH("buiten scope",J61))+ISNUMBER(SEARCH("nvt",J61)),"nvt",IF(Inputblad!C$3&lt;2,"nvt",IF(D61=FALSE,0,IF((F61+H61)=0,1,IF((F61+H61)=2,2,3)))))</f>
        <v>0</v>
      </c>
      <c r="C61" s="64" t="s">
        <v>67</v>
      </c>
      <c r="D61" s="85" t="b">
        <v>0</v>
      </c>
      <c r="E61" s="92" t="s">
        <v>68</v>
      </c>
      <c r="F61" s="97" t="b">
        <v>0</v>
      </c>
      <c r="G61" s="92" t="s">
        <v>107</v>
      </c>
      <c r="H61" s="97" t="b">
        <v>0</v>
      </c>
      <c r="I61" s="64" t="str" cm="1">
        <f t="array" ref="I61">IF(B61="nvt","",_xlfn.IFS(B61="","",B61=0,"Motivatie waarom niet gecontroleerd/uitgevoerd:",B61&lt;=1,"Eventuele toelichting:",B61=2,"Toelichting op afwijking(en) en herstelactie(s):",B61=3,"Toelichting op afwijking(en), advies vervolgstappen:"))</f>
        <v>Motivatie waarom niet gecontroleerd/uitgevoerd:</v>
      </c>
      <c r="J61" s="65"/>
    </row>
    <row r="62" spans="1:10">
      <c r="A62" s="64" t="s">
        <v>214</v>
      </c>
      <c r="B62" s="96" t="str">
        <f>IF(ISNUMBER(SEARCH("niet van toepassing",J62))+ISNUMBER(SEARCH("buiten scope",J62))+ISNUMBER(SEARCH("nvt",J62)),"nvt",IF(Inputblad!B$24=1,IF(Inputblad!C$3&lt;3,"nvt",IF(D62=FALSE,0,IF((F62+H62)=0,1,IF((F62+H62)=2,2,3)))),"nvt"))</f>
        <v>nvt</v>
      </c>
      <c r="C62" s="64" t="s">
        <v>67</v>
      </c>
      <c r="D62" s="85" t="b">
        <v>0</v>
      </c>
      <c r="E62" s="92" t="s">
        <v>68</v>
      </c>
      <c r="F62" s="97" t="b">
        <v>0</v>
      </c>
      <c r="G62" s="92" t="s">
        <v>107</v>
      </c>
      <c r="H62" s="97" t="b">
        <v>0</v>
      </c>
      <c r="I62" s="64" t="str" cm="1">
        <f t="array" ref="I62">IF(B62="nvt","",_xlfn.IFS(B62="","",B62=0,"Motivatie waarom niet gecontroleerd/uitgevoerd:",B62&lt;=1,"Eventuele toelichting:",B62=2,"Toelichting op afwijking(en) en herstelactie(s):",B62=3,"Toelichting op afwijking(en), advies vervolgstappen:"))</f>
        <v/>
      </c>
      <c r="J62" s="65"/>
    </row>
    <row r="63" spans="1:10">
      <c r="A63" s="64" t="s">
        <v>215</v>
      </c>
      <c r="B63" s="96">
        <f>IF(ISNUMBER(SEARCH("niet van toepassing",J63))+ISNUMBER(SEARCH("buiten scope",J63))+ISNUMBER(SEARCH("nvt",J63)),"nvt",IF(Inputblad!C$3&lt;3,"nvt",IF(D63=FALSE,0,IF((F63+H63)=0,1,IF((F63+H63)=2,2,3)))))</f>
        <v>0</v>
      </c>
      <c r="C63" s="64" t="s">
        <v>67</v>
      </c>
      <c r="D63" s="85" t="b">
        <v>0</v>
      </c>
      <c r="E63" s="92" t="s">
        <v>68</v>
      </c>
      <c r="F63" s="97" t="b">
        <v>0</v>
      </c>
      <c r="G63" s="92" t="s">
        <v>107</v>
      </c>
      <c r="H63" s="97" t="b">
        <v>0</v>
      </c>
      <c r="I63" s="64" t="str" cm="1">
        <f t="array" ref="I63">IF(B63="nvt","",_xlfn.IFS(B63="","",B63=0,"Motivatie waarom niet gecontroleerd/uitgevoerd:",B63&lt;=1,"Eventuele toelichting:",B63=2,"Toelichting op afwijking(en) en herstelactie(s):",B63=3,"Toelichting op afwijking(en), advies vervolgstappen:"))</f>
        <v>Motivatie waarom niet gecontroleerd/uitgevoerd:</v>
      </c>
      <c r="J63" s="65"/>
    </row>
    <row r="64" spans="1:10">
      <c r="A64" s="64" t="s">
        <v>217</v>
      </c>
      <c r="B64" s="96">
        <f>IF(ISNUMBER(SEARCH("niet van toepassing",J64))+ISNUMBER(SEARCH("buiten scope",J64))+ISNUMBER(SEARCH("nvt",J64)),"nvt",IF(Inputblad!C$3&lt;3,"nvt",IF(D64=FALSE,0,IF((F64+H64)=0,1,IF((F64+H64)=2,2,3)))))</f>
        <v>0</v>
      </c>
      <c r="C64" s="64" t="s">
        <v>67</v>
      </c>
      <c r="D64" s="85" t="b">
        <v>0</v>
      </c>
      <c r="E64" s="92" t="s">
        <v>68</v>
      </c>
      <c r="F64" s="97" t="b">
        <v>0</v>
      </c>
      <c r="G64" s="92" t="s">
        <v>107</v>
      </c>
      <c r="H64" s="97" t="b">
        <v>0</v>
      </c>
      <c r="I64" s="64" t="str" cm="1">
        <f t="array" ref="I64">IF(B64="nvt","",_xlfn.IFS(B64="","",B64=0,"Motivatie waarom niet gecontroleerd/uitgevoerd:",B64&lt;=1,"Eventuele toelichting:",B64=2,"Toelichting op afwijking(en) en herstelactie(s):",B64=3,"Toelichting op afwijking(en), advies vervolgstappen:"))</f>
        <v>Motivatie waarom niet gecontroleerd/uitgevoerd:</v>
      </c>
      <c r="J64" s="65"/>
    </row>
    <row r="65" spans="1:10">
      <c r="A65" s="64" t="s">
        <v>173</v>
      </c>
      <c r="B65" s="96">
        <f>IF(ISNUMBER(SEARCH("niet van toepassing",J65))+ISNUMBER(SEARCH("buiten scope",J65))+ISNUMBER(SEARCH("nvt",J65)),"nvt",IF(Inputblad!C$3&lt;3,"nvt",IF(D65=FALSE,0,IF((F65+H65)=0,1,IF((F65+H65)=2,2,3)))))</f>
        <v>0</v>
      </c>
      <c r="C65" s="64" t="s">
        <v>21</v>
      </c>
      <c r="D65" s="85" t="b">
        <v>0</v>
      </c>
      <c r="E65" s="92" t="s">
        <v>68</v>
      </c>
      <c r="F65" s="97" t="b">
        <v>0</v>
      </c>
      <c r="G65" s="92" t="s">
        <v>107</v>
      </c>
      <c r="H65" s="97" t="b">
        <v>0</v>
      </c>
      <c r="I65" s="64" t="str" cm="1">
        <f t="array" ref="I65">IF(B65="nvt","",_xlfn.IFS(B65="","",B65=0,"Motivatie waarom niet gecontroleerd/uitgevoerd:",B65&lt;=1,"Eventuele toelichting:",B65=2,"Toelichting op afwijking(en) en herstelactie(s):",B65=3,"Toelichting op afwijking(en), advies vervolgstappen:"))</f>
        <v>Motivatie waarom niet gecontroleerd/uitgevoerd:</v>
      </c>
      <c r="J65" s="65"/>
    </row>
    <row r="66" spans="1:10">
      <c r="A66" s="64" t="s">
        <v>213</v>
      </c>
      <c r="B66" s="96">
        <f>IF(ISNUMBER(SEARCH("niet van toepassing",J66))+ISNUMBER(SEARCH("buiten scope",J66))+ISNUMBER(SEARCH("nvt",J66)),"nvt",IF(Inputblad!C$3&lt;3,"nvt",IF(D66=FALSE,0,IF((F66+H66)=0,1,IF((F66+H66)=2,2,3)))))</f>
        <v>0</v>
      </c>
      <c r="C66" s="64" t="s">
        <v>21</v>
      </c>
      <c r="D66" s="85" t="b">
        <v>0</v>
      </c>
      <c r="E66" s="92" t="s">
        <v>68</v>
      </c>
      <c r="F66" s="97" t="b">
        <v>0</v>
      </c>
      <c r="G66" s="92" t="s">
        <v>107</v>
      </c>
      <c r="H66" s="97" t="b">
        <v>0</v>
      </c>
      <c r="I66" s="64" t="str" cm="1">
        <f t="array" ref="I66">IF(B66="nvt","",_xlfn.IFS(B66="","",B66=0,"Motivatie waarom niet gecontroleerd/uitgevoerd:",B66&lt;=1,"Eventuele toelichting:",B66=2,"Toelichting op afwijking(en) en herstelactie(s):",B66=3,"Toelichting op afwijking(en), advies vervolgstappen:"))</f>
        <v>Motivatie waarom niet gecontroleerd/uitgevoerd:</v>
      </c>
      <c r="J66" s="65"/>
    </row>
    <row r="67" spans="1:10">
      <c r="A67" s="64" t="s">
        <v>155</v>
      </c>
      <c r="B67" s="96">
        <f>IF(ISNUMBER(SEARCH("niet van toepassing",J67))+ISNUMBER(SEARCH("buiten scope",J67))+ISNUMBER(SEARCH("nvt",J67)),"nvt",IF(Inputblad!C$3&lt;3,"nvt",IF(D67=FALSE,0,IF((F67+H67)=0,1,IF((F67+H67)=2,2,3)))))</f>
        <v>0</v>
      </c>
      <c r="C67" s="64" t="s">
        <v>67</v>
      </c>
      <c r="D67" s="85" t="b">
        <v>0</v>
      </c>
      <c r="E67" s="92" t="s">
        <v>68</v>
      </c>
      <c r="F67" s="97" t="b">
        <v>0</v>
      </c>
      <c r="G67" s="92" t="s">
        <v>107</v>
      </c>
      <c r="H67" s="97" t="b">
        <v>0</v>
      </c>
      <c r="I67" s="64" t="str" cm="1">
        <f t="array" ref="I67">IF(B67="nvt","",_xlfn.IFS(B67="","",B67=0,"Motivatie waarom niet gecontroleerd/uitgevoerd:",B67&lt;=1,"Eventuele toelichting:",B67=2,"Toelichting op afwijking(en) en herstelactie(s):",B67=3,"Toelichting op afwijking(en), advies vervolgstappen:"))</f>
        <v>Motivatie waarom niet gecontroleerd/uitgevoerd:</v>
      </c>
      <c r="J67" s="65"/>
    </row>
    <row r="69" spans="1:10">
      <c r="A69" s="69" t="s">
        <v>226</v>
      </c>
      <c r="B69" s="91" t="str">
        <f>IF(Inputblad!C3&lt;1,"nvt",IF(COUNTIF(B70:B72,"nvt")=3,"nvt",(COUNTA(B70:B72)-COUNTIF(B70:B72,0)-COUNTIF(B70:B72,"nvt"))/(COUNTA(B70:B72)-COUNTIF(B70:B72,"nvt"))))</f>
        <v>nvt</v>
      </c>
      <c r="C69" s="69" t="str">
        <f>IF(B69="nvt","","uitgevoerd")</f>
        <v/>
      </c>
      <c r="E69" s="92" t="str">
        <f>IF(B69="nvt","","Geconstateerde afwijkingen:")</f>
        <v/>
      </c>
      <c r="F69" s="93" t="str">
        <f>IF(B69="nvt","",COUNTIF(F70:F72,TRUE))</f>
        <v/>
      </c>
      <c r="G69" s="64" t="str">
        <f>IF(B69="nvt","","en direct hersteld:")</f>
        <v/>
      </c>
      <c r="H69" s="80" t="str">
        <f>IF(B69="nvt","",COUNTIF(H70:H72,TRUE))</f>
        <v/>
      </c>
    </row>
    <row r="70" spans="1:10">
      <c r="A70" s="65" t="s">
        <v>227</v>
      </c>
      <c r="B70" s="96" t="str">
        <f>IF(A70="VRIJ IN TE VULLEN","nvt",IF(D70=FALSE,0,IF((F70+H70)=0,1,IF((F70+H70)=2,2,3))))</f>
        <v>nvt</v>
      </c>
      <c r="C70" s="64" t="s">
        <v>67</v>
      </c>
      <c r="D70" s="85" t="b">
        <v>0</v>
      </c>
      <c r="E70" s="92" t="s">
        <v>68</v>
      </c>
      <c r="F70" s="97" t="b">
        <v>0</v>
      </c>
      <c r="G70" s="92" t="s">
        <v>107</v>
      </c>
      <c r="H70" s="97" t="b">
        <v>0</v>
      </c>
      <c r="I70" s="64" t="str" cm="1">
        <f t="array" ref="I70">IF(B70="nvt","",_xlfn.IFS(B70="","",B70=0,"Motivatie waarom niet gecontroleerd/uitgevoerd:",B70&lt;=1,"Eventuele toelichting:",B70=2,"Toelichting op afwijking(en) en herstelactie(s):",B70=3,"Toelichting op afwijking(en), advies vervolgstappen:"))</f>
        <v/>
      </c>
      <c r="J70" s="65"/>
    </row>
    <row r="71" spans="1:10">
      <c r="A71" s="65" t="s">
        <v>227</v>
      </c>
      <c r="B71" s="96" t="str">
        <f t="shared" ref="B71:B72" si="0">IF(A71="VRIJ IN TE VULLEN","nvt",IF(D71=FALSE,0,IF((F71+H71)=0,1,IF((F71+H71)=2,2,3))))</f>
        <v>nvt</v>
      </c>
      <c r="C71" s="64" t="s">
        <v>67</v>
      </c>
      <c r="D71" s="85" t="b">
        <v>0</v>
      </c>
      <c r="E71" s="92" t="s">
        <v>68</v>
      </c>
      <c r="F71" s="97" t="b">
        <v>0</v>
      </c>
      <c r="G71" s="92" t="s">
        <v>107</v>
      </c>
      <c r="H71" s="97" t="b">
        <v>0</v>
      </c>
      <c r="I71" s="64" t="str" cm="1">
        <f t="array" ref="I71">IF(B71="nvt","",_xlfn.IFS(B71="","",B71=0,"Motivatie waarom niet gecontroleerd/uitgevoerd:",B71&lt;=1,"Eventuele toelichting:",B71=2,"Toelichting op afwijking(en) en herstelactie(s):",B71=3,"Toelichting op afwijking(en), advies vervolgstappen:"))</f>
        <v/>
      </c>
      <c r="J71" s="65"/>
    </row>
    <row r="72" spans="1:10">
      <c r="A72" s="65" t="s">
        <v>227</v>
      </c>
      <c r="B72" s="96" t="str">
        <f t="shared" si="0"/>
        <v>nvt</v>
      </c>
      <c r="C72" s="64" t="s">
        <v>67</v>
      </c>
      <c r="D72" s="85" t="b">
        <v>0</v>
      </c>
      <c r="E72" s="92" t="s">
        <v>68</v>
      </c>
      <c r="F72" s="97" t="b">
        <v>0</v>
      </c>
      <c r="G72" s="92" t="s">
        <v>107</v>
      </c>
      <c r="H72" s="97" t="b">
        <v>0</v>
      </c>
      <c r="I72" s="64" t="str" cm="1">
        <f t="array" ref="I72">IF(B72="nvt","",_xlfn.IFS(B72="","",B72=0,"Motivatie waarom niet gecontroleerd/uitgevoerd:",B72&lt;=1,"Eventuele toelichting:",B72=2,"Toelichting op afwijking(en) en herstelactie(s):",B72=3,"Toelichting op afwijking(en), advies vervolgstappen:"))</f>
        <v/>
      </c>
      <c r="J72" s="65"/>
    </row>
    <row r="75" spans="1:10">
      <c r="A75" s="66" t="s">
        <v>221</v>
      </c>
    </row>
    <row r="77" spans="1:10">
      <c r="A77" s="66" t="s">
        <v>233</v>
      </c>
    </row>
  </sheetData>
  <conditionalFormatting sqref="B30:B31">
    <cfRule type="colorScale" priority="74">
      <colorScale>
        <cfvo type="num" val="1"/>
        <cfvo type="num" val="2"/>
        <cfvo type="num" val="3"/>
        <color rgb="FF92D050"/>
        <color rgb="FFFFC000"/>
        <color rgb="FFFF0000"/>
      </colorScale>
    </cfRule>
  </conditionalFormatting>
  <conditionalFormatting sqref="B30:B31">
    <cfRule type="cellIs" dxfId="46" priority="73" operator="equal">
      <formula>0</formula>
    </cfRule>
  </conditionalFormatting>
  <conditionalFormatting sqref="B20:B22 B25:B26">
    <cfRule type="colorScale" priority="70">
      <colorScale>
        <cfvo type="num" val="1"/>
        <cfvo type="num" val="2"/>
        <cfvo type="num" val="3"/>
        <color rgb="FF92D050"/>
        <color rgb="FFFFC000"/>
        <color rgb="FFFF0000"/>
      </colorScale>
    </cfRule>
  </conditionalFormatting>
  <conditionalFormatting sqref="B20:B22 B25:B26">
    <cfRule type="cellIs" dxfId="45" priority="69" operator="equal">
      <formula>0</formula>
    </cfRule>
  </conditionalFormatting>
  <conditionalFormatting sqref="B35:B39">
    <cfRule type="colorScale" priority="64">
      <colorScale>
        <cfvo type="num" val="1"/>
        <cfvo type="num" val="2"/>
        <cfvo type="num" val="3"/>
        <color rgb="FF92D050"/>
        <color rgb="FFFFC000"/>
        <color rgb="FFFF0000"/>
      </colorScale>
    </cfRule>
  </conditionalFormatting>
  <conditionalFormatting sqref="B35:B39">
    <cfRule type="cellIs" dxfId="44" priority="63" operator="equal">
      <formula>0</formula>
    </cfRule>
  </conditionalFormatting>
  <conditionalFormatting sqref="B40">
    <cfRule type="colorScale" priority="62">
      <colorScale>
        <cfvo type="num" val="1"/>
        <cfvo type="num" val="2"/>
        <cfvo type="num" val="3"/>
        <color rgb="FF92D050"/>
        <color rgb="FFFFC000"/>
        <color rgb="FFFF0000"/>
      </colorScale>
    </cfRule>
  </conditionalFormatting>
  <conditionalFormatting sqref="B40">
    <cfRule type="cellIs" dxfId="43" priority="61" operator="equal">
      <formula>0</formula>
    </cfRule>
  </conditionalFormatting>
  <conditionalFormatting sqref="B1">
    <cfRule type="dataBar" priority="59">
      <dataBar>
        <cfvo type="num" val="0"/>
        <cfvo type="num" val="1"/>
        <color rgb="FF63C384"/>
      </dataBar>
      <extLst>
        <ext xmlns:x14="http://schemas.microsoft.com/office/spreadsheetml/2009/9/main" uri="{B025F937-C7B1-47D3-B67F-A62EFF666E3E}">
          <x14:id>{30CDA70A-7132-464E-9D04-DD2614EB2089}</x14:id>
        </ext>
      </extLst>
    </cfRule>
  </conditionalFormatting>
  <conditionalFormatting sqref="B42:B44">
    <cfRule type="colorScale" priority="55">
      <colorScale>
        <cfvo type="num" val="1"/>
        <cfvo type="num" val="2"/>
        <cfvo type="num" val="3"/>
        <color rgb="FF92D050"/>
        <color rgb="FFFFC000"/>
        <color rgb="FFFF0000"/>
      </colorScale>
    </cfRule>
  </conditionalFormatting>
  <conditionalFormatting sqref="B42:B44">
    <cfRule type="cellIs" dxfId="42" priority="54" operator="equal">
      <formula>0</formula>
    </cfRule>
  </conditionalFormatting>
  <conditionalFormatting sqref="B47">
    <cfRule type="colorScale" priority="53">
      <colorScale>
        <cfvo type="num" val="1"/>
        <cfvo type="num" val="2"/>
        <cfvo type="num" val="3"/>
        <color rgb="FF92D050"/>
        <color rgb="FFFFC000"/>
        <color rgb="FFFF0000"/>
      </colorScale>
    </cfRule>
  </conditionalFormatting>
  <conditionalFormatting sqref="B47">
    <cfRule type="cellIs" dxfId="41" priority="52" operator="equal">
      <formula>0</formula>
    </cfRule>
  </conditionalFormatting>
  <conditionalFormatting sqref="B49">
    <cfRule type="colorScale" priority="51">
      <colorScale>
        <cfvo type="num" val="1"/>
        <cfvo type="num" val="2"/>
        <cfvo type="num" val="3"/>
        <color rgb="FF92D050"/>
        <color rgb="FFFFC000"/>
        <color rgb="FFFF0000"/>
      </colorScale>
    </cfRule>
  </conditionalFormatting>
  <conditionalFormatting sqref="B49">
    <cfRule type="cellIs" dxfId="40" priority="50" operator="equal">
      <formula>0</formula>
    </cfRule>
  </conditionalFormatting>
  <conditionalFormatting sqref="B51:B61">
    <cfRule type="colorScale" priority="45">
      <colorScale>
        <cfvo type="num" val="1"/>
        <cfvo type="num" val="2"/>
        <cfvo type="num" val="3"/>
        <color rgb="FF92D050"/>
        <color rgb="FFFFC000"/>
        <color rgb="FFFF0000"/>
      </colorScale>
    </cfRule>
  </conditionalFormatting>
  <conditionalFormatting sqref="B51:B61">
    <cfRule type="cellIs" dxfId="39" priority="44" operator="equal">
      <formula>0</formula>
    </cfRule>
  </conditionalFormatting>
  <conditionalFormatting sqref="B62">
    <cfRule type="colorScale" priority="39">
      <colorScale>
        <cfvo type="num" val="1"/>
        <cfvo type="num" val="2"/>
        <cfvo type="num" val="3"/>
        <color rgb="FF92D050"/>
        <color rgb="FFFFC000"/>
        <color rgb="FFFF0000"/>
      </colorScale>
    </cfRule>
  </conditionalFormatting>
  <conditionalFormatting sqref="B62">
    <cfRule type="cellIs" dxfId="38" priority="38" operator="equal">
      <formula>0</formula>
    </cfRule>
  </conditionalFormatting>
  <conditionalFormatting sqref="B19">
    <cfRule type="dataBar" priority="36">
      <dataBar>
        <cfvo type="num" val="0"/>
        <cfvo type="num" val="1"/>
        <color rgb="FF63C384"/>
      </dataBar>
      <extLst>
        <ext xmlns:x14="http://schemas.microsoft.com/office/spreadsheetml/2009/9/main" uri="{B025F937-C7B1-47D3-B67F-A62EFF666E3E}">
          <x14:id>{9CDEBEB2-4D29-4F94-ABD6-EFD5EBFA6999}</x14:id>
        </ext>
      </extLst>
    </cfRule>
  </conditionalFormatting>
  <conditionalFormatting sqref="B28">
    <cfRule type="dataBar" priority="35">
      <dataBar>
        <cfvo type="num" val="0"/>
        <cfvo type="num" val="1"/>
        <color rgb="FF63C384"/>
      </dataBar>
      <extLst>
        <ext xmlns:x14="http://schemas.microsoft.com/office/spreadsheetml/2009/9/main" uri="{B025F937-C7B1-47D3-B67F-A62EFF666E3E}">
          <x14:id>{C54B36A4-902E-4AB9-B4E7-825F8D9EC8A9}</x14:id>
        </ext>
      </extLst>
    </cfRule>
  </conditionalFormatting>
  <conditionalFormatting sqref="B46">
    <cfRule type="dataBar" priority="33">
      <dataBar>
        <cfvo type="num" val="0"/>
        <cfvo type="num" val="1"/>
        <color rgb="FF63C384"/>
      </dataBar>
      <extLst>
        <ext xmlns:x14="http://schemas.microsoft.com/office/spreadsheetml/2009/9/main" uri="{B025F937-C7B1-47D3-B67F-A62EFF666E3E}">
          <x14:id>{80BB0377-C000-4700-B18B-41CAA10BE0B8}</x14:id>
        </ext>
      </extLst>
    </cfRule>
  </conditionalFormatting>
  <conditionalFormatting sqref="B70:B72">
    <cfRule type="colorScale" priority="32">
      <colorScale>
        <cfvo type="num" val="1"/>
        <cfvo type="num" val="2"/>
        <cfvo type="num" val="3"/>
        <color rgb="FF92D050"/>
        <color rgb="FFFFC000"/>
        <color rgb="FFFF0000"/>
      </colorScale>
    </cfRule>
  </conditionalFormatting>
  <conditionalFormatting sqref="B70:B72">
    <cfRule type="cellIs" dxfId="37" priority="31" operator="equal">
      <formula>0</formula>
    </cfRule>
  </conditionalFormatting>
  <conditionalFormatting sqref="B69">
    <cfRule type="dataBar" priority="26">
      <dataBar>
        <cfvo type="num" val="0"/>
        <cfvo type="num" val="1"/>
        <color rgb="FF63C384"/>
      </dataBar>
      <extLst>
        <ext xmlns:x14="http://schemas.microsoft.com/office/spreadsheetml/2009/9/main" uri="{B025F937-C7B1-47D3-B67F-A62EFF666E3E}">
          <x14:id>{FC8889D6-4484-4C81-9899-644674613A59}</x14:id>
        </ext>
      </extLst>
    </cfRule>
  </conditionalFormatting>
  <conditionalFormatting sqref="B34">
    <cfRule type="dataBar" priority="25">
      <dataBar>
        <cfvo type="num" val="0"/>
        <cfvo type="num" val="1"/>
        <color rgb="FF63C384"/>
      </dataBar>
      <extLst>
        <ext xmlns:x14="http://schemas.microsoft.com/office/spreadsheetml/2009/9/main" uri="{B025F937-C7B1-47D3-B67F-A62EFF666E3E}">
          <x14:id>{B90F1EE1-D8C0-4D7B-9391-A0A851D5B233}</x14:id>
        </ext>
      </extLst>
    </cfRule>
  </conditionalFormatting>
  <conditionalFormatting sqref="B29">
    <cfRule type="colorScale" priority="24">
      <colorScale>
        <cfvo type="num" val="1"/>
        <cfvo type="num" val="2"/>
        <cfvo type="num" val="3"/>
        <color rgb="FF92D050"/>
        <color rgb="FFFFC000"/>
        <color rgb="FFFF0000"/>
      </colorScale>
    </cfRule>
  </conditionalFormatting>
  <conditionalFormatting sqref="B29">
    <cfRule type="cellIs" dxfId="36" priority="23" operator="equal">
      <formula>0</formula>
    </cfRule>
  </conditionalFormatting>
  <conditionalFormatting sqref="B32">
    <cfRule type="colorScale" priority="22">
      <colorScale>
        <cfvo type="num" val="1"/>
        <cfvo type="num" val="2"/>
        <cfvo type="num" val="3"/>
        <color rgb="FF92D050"/>
        <color rgb="FFFFC000"/>
        <color rgb="FFFF0000"/>
      </colorScale>
    </cfRule>
  </conditionalFormatting>
  <conditionalFormatting sqref="B32">
    <cfRule type="cellIs" dxfId="35" priority="21" operator="equal">
      <formula>0</formula>
    </cfRule>
  </conditionalFormatting>
  <conditionalFormatting sqref="B41">
    <cfRule type="colorScale" priority="20">
      <colorScale>
        <cfvo type="num" val="1"/>
        <cfvo type="num" val="2"/>
        <cfvo type="num" val="3"/>
        <color rgb="FF92D050"/>
        <color rgb="FFFFC000"/>
        <color rgb="FFFF0000"/>
      </colorScale>
    </cfRule>
  </conditionalFormatting>
  <conditionalFormatting sqref="B41">
    <cfRule type="cellIs" dxfId="34" priority="19" operator="equal">
      <formula>0</formula>
    </cfRule>
  </conditionalFormatting>
  <conditionalFormatting sqref="B48">
    <cfRule type="colorScale" priority="18">
      <colorScale>
        <cfvo type="num" val="1"/>
        <cfvo type="num" val="2"/>
        <cfvo type="num" val="3"/>
        <color rgb="FF92D050"/>
        <color rgb="FFFFC000"/>
        <color rgb="FFFF0000"/>
      </colorScale>
    </cfRule>
  </conditionalFormatting>
  <conditionalFormatting sqref="B48">
    <cfRule type="cellIs" dxfId="33" priority="17" operator="equal">
      <formula>0</formula>
    </cfRule>
  </conditionalFormatting>
  <conditionalFormatting sqref="B50">
    <cfRule type="colorScale" priority="16">
      <colorScale>
        <cfvo type="num" val="1"/>
        <cfvo type="num" val="2"/>
        <cfvo type="num" val="3"/>
        <color rgb="FF92D050"/>
        <color rgb="FFFFC000"/>
        <color rgb="FFFF0000"/>
      </colorScale>
    </cfRule>
  </conditionalFormatting>
  <conditionalFormatting sqref="B50">
    <cfRule type="cellIs" dxfId="32" priority="15" operator="equal">
      <formula>0</formula>
    </cfRule>
  </conditionalFormatting>
  <conditionalFormatting sqref="B63">
    <cfRule type="colorScale" priority="14">
      <colorScale>
        <cfvo type="num" val="1"/>
        <cfvo type="num" val="2"/>
        <cfvo type="num" val="3"/>
        <color rgb="FF92D050"/>
        <color rgb="FFFFC000"/>
        <color rgb="FFFF0000"/>
      </colorScale>
    </cfRule>
  </conditionalFormatting>
  <conditionalFormatting sqref="B63">
    <cfRule type="cellIs" dxfId="31" priority="13" operator="equal">
      <formula>0</formula>
    </cfRule>
  </conditionalFormatting>
  <conditionalFormatting sqref="B64">
    <cfRule type="colorScale" priority="12">
      <colorScale>
        <cfvo type="num" val="1"/>
        <cfvo type="num" val="2"/>
        <cfvo type="num" val="3"/>
        <color rgb="FF92D050"/>
        <color rgb="FFFFC000"/>
        <color rgb="FFFF0000"/>
      </colorScale>
    </cfRule>
  </conditionalFormatting>
  <conditionalFormatting sqref="B64">
    <cfRule type="cellIs" dxfId="30" priority="11" operator="equal">
      <formula>0</formula>
    </cfRule>
  </conditionalFormatting>
  <conditionalFormatting sqref="B65">
    <cfRule type="colorScale" priority="10">
      <colorScale>
        <cfvo type="num" val="1"/>
        <cfvo type="num" val="2"/>
        <cfvo type="num" val="3"/>
        <color rgb="FF92D050"/>
        <color rgb="FFFFC000"/>
        <color rgb="FFFF0000"/>
      </colorScale>
    </cfRule>
  </conditionalFormatting>
  <conditionalFormatting sqref="B65">
    <cfRule type="cellIs" dxfId="29" priority="9" operator="equal">
      <formula>0</formula>
    </cfRule>
  </conditionalFormatting>
  <conditionalFormatting sqref="B66">
    <cfRule type="colorScale" priority="8">
      <colorScale>
        <cfvo type="num" val="1"/>
        <cfvo type="num" val="2"/>
        <cfvo type="num" val="3"/>
        <color rgb="FF92D050"/>
        <color rgb="FFFFC000"/>
        <color rgb="FFFF0000"/>
      </colorScale>
    </cfRule>
  </conditionalFormatting>
  <conditionalFormatting sqref="B66">
    <cfRule type="cellIs" dxfId="28" priority="7" operator="equal">
      <formula>0</formula>
    </cfRule>
  </conditionalFormatting>
  <conditionalFormatting sqref="B67">
    <cfRule type="colorScale" priority="6">
      <colorScale>
        <cfvo type="num" val="1"/>
        <cfvo type="num" val="2"/>
        <cfvo type="num" val="3"/>
        <color rgb="FF92D050"/>
        <color rgb="FFFFC000"/>
        <color rgb="FFFF0000"/>
      </colorScale>
    </cfRule>
  </conditionalFormatting>
  <conditionalFormatting sqref="B67">
    <cfRule type="cellIs" dxfId="27" priority="5" operator="equal">
      <formula>0</formula>
    </cfRule>
  </conditionalFormatting>
  <conditionalFormatting sqref="B23:B24">
    <cfRule type="colorScale" priority="2">
      <colorScale>
        <cfvo type="num" val="1"/>
        <cfvo type="num" val="2"/>
        <cfvo type="num" val="3"/>
        <color rgb="FF92D050"/>
        <color rgb="FFFFC000"/>
        <color rgb="FFFF0000"/>
      </colorScale>
    </cfRule>
  </conditionalFormatting>
  <conditionalFormatting sqref="B23:B24">
    <cfRule type="cellIs" dxfId="26" priority="1" operator="equal">
      <formula>0</formula>
    </cfRule>
  </conditionalFormatting>
  <hyperlinks>
    <hyperlink ref="A75" location="TOELICHTING!A1" display="INHOUDSOPGAVE" xr:uid="{C8F5213C-127D-49B4-9A6A-6F31915A22FA}"/>
    <hyperlink ref="A77" location="'Notities en afbeeldingen'!A1" display="INHOUDSOPGAVE" xr:uid="{20139E05-62BA-4518-A54A-613BF0989D60}"/>
  </hyperlinks>
  <pageMargins left="0.7" right="0.7" top="0.75" bottom="0.75" header="0.3" footer="0.3"/>
  <pageSetup paperSize="9" scale="75"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46" r:id="rId3" name="Drop Down 26">
              <controlPr defaultSize="0" autoLine="0" autoPict="0">
                <anchor moveWithCells="1">
                  <from>
                    <xdr:col>1</xdr:col>
                    <xdr:colOff>38100</xdr:colOff>
                    <xdr:row>5</xdr:row>
                    <xdr:rowOff>9525</xdr:rowOff>
                  </from>
                  <to>
                    <xdr:col>2</xdr:col>
                    <xdr:colOff>371475</xdr:colOff>
                    <xdr:row>5</xdr:row>
                    <xdr:rowOff>142875</xdr:rowOff>
                  </to>
                </anchor>
              </controlPr>
            </control>
          </mc:Choice>
        </mc:AlternateContent>
        <mc:AlternateContent xmlns:mc="http://schemas.openxmlformats.org/markup-compatibility/2006">
          <mc:Choice Requires="x14">
            <control shapeId="5209" r:id="rId4" name="CheckBox_B8">
              <controlPr defaultSize="0" autoFill="0" autoLine="0" autoPict="0" macro="[0]!CheckboxClick">
                <anchor moveWithCells="1">
                  <from>
                    <xdr:col>1</xdr:col>
                    <xdr:colOff>371475</xdr:colOff>
                    <xdr:row>6</xdr:row>
                    <xdr:rowOff>133350</xdr:rowOff>
                  </from>
                  <to>
                    <xdr:col>2</xdr:col>
                    <xdr:colOff>47625</xdr:colOff>
                    <xdr:row>8</xdr:row>
                    <xdr:rowOff>28575</xdr:rowOff>
                  </to>
                </anchor>
              </controlPr>
            </control>
          </mc:Choice>
        </mc:AlternateContent>
        <mc:AlternateContent xmlns:mc="http://schemas.openxmlformats.org/markup-compatibility/2006">
          <mc:Choice Requires="x14">
            <control shapeId="5213" r:id="rId5" name="CheckBox_C24">
              <controlPr defaultSize="0" autoFill="0" autoLine="0" autoPict="0" macro="[0]!CheckboxClick">
                <anchor moveWithCells="1">
                  <from>
                    <xdr:col>2</xdr:col>
                    <xdr:colOff>866775</xdr:colOff>
                    <xdr:row>22</xdr:row>
                    <xdr:rowOff>133350</xdr:rowOff>
                  </from>
                  <to>
                    <xdr:col>3</xdr:col>
                    <xdr:colOff>57150</xdr:colOff>
                    <xdr:row>24</xdr:row>
                    <xdr:rowOff>28575</xdr:rowOff>
                  </to>
                </anchor>
              </controlPr>
            </control>
          </mc:Choice>
        </mc:AlternateContent>
        <mc:AlternateContent xmlns:mc="http://schemas.openxmlformats.org/markup-compatibility/2006">
          <mc:Choice Requires="x14">
            <control shapeId="5214" r:id="rId6" name="CheckBox_G24">
              <controlPr defaultSize="0" autoFill="0" autoLine="0" autoPict="0" macro="[0]!CheckboxClick">
                <anchor moveWithCells="1">
                  <from>
                    <xdr:col>6</xdr:col>
                    <xdr:colOff>1028700</xdr:colOff>
                    <xdr:row>22</xdr:row>
                    <xdr:rowOff>133350</xdr:rowOff>
                  </from>
                  <to>
                    <xdr:col>7</xdr:col>
                    <xdr:colOff>9525</xdr:colOff>
                    <xdr:row>24</xdr:row>
                    <xdr:rowOff>28575</xdr:rowOff>
                  </to>
                </anchor>
              </controlPr>
            </control>
          </mc:Choice>
        </mc:AlternateContent>
        <mc:AlternateContent xmlns:mc="http://schemas.openxmlformats.org/markup-compatibility/2006">
          <mc:Choice Requires="x14">
            <control shapeId="5215" r:id="rId7" name="CheckBox_E24">
              <controlPr defaultSize="0" autoFill="0" autoLine="0" autoPict="0" macro="[0]!CheckboxClick">
                <anchor moveWithCells="1">
                  <from>
                    <xdr:col>4</xdr:col>
                    <xdr:colOff>1685925</xdr:colOff>
                    <xdr:row>22</xdr:row>
                    <xdr:rowOff>133350</xdr:rowOff>
                  </from>
                  <to>
                    <xdr:col>5</xdr:col>
                    <xdr:colOff>9525</xdr:colOff>
                    <xdr:row>24</xdr:row>
                    <xdr:rowOff>28575</xdr:rowOff>
                  </to>
                </anchor>
              </controlPr>
            </control>
          </mc:Choice>
        </mc:AlternateContent>
        <mc:AlternateContent xmlns:mc="http://schemas.openxmlformats.org/markup-compatibility/2006">
          <mc:Choice Requires="x14">
            <control shapeId="5217" r:id="rId8" name="CheckBox_B10">
              <controlPr defaultSize="0" autoFill="0" autoLine="0" autoPict="0" macro="[0]!CheckboxClick">
                <anchor moveWithCells="1">
                  <from>
                    <xdr:col>1</xdr:col>
                    <xdr:colOff>371475</xdr:colOff>
                    <xdr:row>8</xdr:row>
                    <xdr:rowOff>133350</xdr:rowOff>
                  </from>
                  <to>
                    <xdr:col>2</xdr:col>
                    <xdr:colOff>47625</xdr:colOff>
                    <xdr:row>10</xdr:row>
                    <xdr:rowOff>28575</xdr:rowOff>
                  </to>
                </anchor>
              </controlPr>
            </control>
          </mc:Choice>
        </mc:AlternateContent>
        <mc:AlternateContent xmlns:mc="http://schemas.openxmlformats.org/markup-compatibility/2006">
          <mc:Choice Requires="x14">
            <control shapeId="5218" r:id="rId9" name="CheckBox_C23">
              <controlPr defaultSize="0" autoFill="0" autoLine="0" autoPict="0" macro="[0]!CheckboxClick">
                <anchor moveWithCells="1">
                  <from>
                    <xdr:col>2</xdr:col>
                    <xdr:colOff>866775</xdr:colOff>
                    <xdr:row>21</xdr:row>
                    <xdr:rowOff>133350</xdr:rowOff>
                  </from>
                  <to>
                    <xdr:col>3</xdr:col>
                    <xdr:colOff>57150</xdr:colOff>
                    <xdr:row>23</xdr:row>
                    <xdr:rowOff>28575</xdr:rowOff>
                  </to>
                </anchor>
              </controlPr>
            </control>
          </mc:Choice>
        </mc:AlternateContent>
        <mc:AlternateContent xmlns:mc="http://schemas.openxmlformats.org/markup-compatibility/2006">
          <mc:Choice Requires="x14">
            <control shapeId="5219" r:id="rId10" name="CheckBox_G23">
              <controlPr defaultSize="0" autoFill="0" autoLine="0" autoPict="0" macro="[0]!CheckboxClick">
                <anchor moveWithCells="1">
                  <from>
                    <xdr:col>6</xdr:col>
                    <xdr:colOff>1028700</xdr:colOff>
                    <xdr:row>21</xdr:row>
                    <xdr:rowOff>133350</xdr:rowOff>
                  </from>
                  <to>
                    <xdr:col>7</xdr:col>
                    <xdr:colOff>9525</xdr:colOff>
                    <xdr:row>23</xdr:row>
                    <xdr:rowOff>28575</xdr:rowOff>
                  </to>
                </anchor>
              </controlPr>
            </control>
          </mc:Choice>
        </mc:AlternateContent>
        <mc:AlternateContent xmlns:mc="http://schemas.openxmlformats.org/markup-compatibility/2006">
          <mc:Choice Requires="x14">
            <control shapeId="5220" r:id="rId11" name="CheckBox_E23">
              <controlPr defaultSize="0" autoFill="0" autoLine="0" autoPict="0" macro="[0]!CheckboxClick">
                <anchor moveWithCells="1">
                  <from>
                    <xdr:col>4</xdr:col>
                    <xdr:colOff>1685925</xdr:colOff>
                    <xdr:row>21</xdr:row>
                    <xdr:rowOff>133350</xdr:rowOff>
                  </from>
                  <to>
                    <xdr:col>5</xdr:col>
                    <xdr:colOff>9525</xdr:colOff>
                    <xdr:row>23</xdr:row>
                    <xdr:rowOff>28575</xdr:rowOff>
                  </to>
                </anchor>
              </controlPr>
            </control>
          </mc:Choice>
        </mc:AlternateContent>
        <mc:AlternateContent xmlns:mc="http://schemas.openxmlformats.org/markup-compatibility/2006">
          <mc:Choice Requires="x14">
            <control shapeId="5221" r:id="rId12" name="CheckBox_C20">
              <controlPr defaultSize="0" autoFill="0" autoLine="0" autoPict="0" macro="[0]!CheckboxClick">
                <anchor moveWithCells="1">
                  <from>
                    <xdr:col>2</xdr:col>
                    <xdr:colOff>866775</xdr:colOff>
                    <xdr:row>18</xdr:row>
                    <xdr:rowOff>133350</xdr:rowOff>
                  </from>
                  <to>
                    <xdr:col>3</xdr:col>
                    <xdr:colOff>57150</xdr:colOff>
                    <xdr:row>20</xdr:row>
                    <xdr:rowOff>28575</xdr:rowOff>
                  </to>
                </anchor>
              </controlPr>
            </control>
          </mc:Choice>
        </mc:AlternateContent>
        <mc:AlternateContent xmlns:mc="http://schemas.openxmlformats.org/markup-compatibility/2006">
          <mc:Choice Requires="x14">
            <control shapeId="5222" r:id="rId13" name="CheckBox_G20">
              <controlPr defaultSize="0" autoFill="0" autoLine="0" autoPict="0" macro="[0]!CheckboxClick">
                <anchor moveWithCells="1">
                  <from>
                    <xdr:col>6</xdr:col>
                    <xdr:colOff>1028700</xdr:colOff>
                    <xdr:row>18</xdr:row>
                    <xdr:rowOff>133350</xdr:rowOff>
                  </from>
                  <to>
                    <xdr:col>7</xdr:col>
                    <xdr:colOff>9525</xdr:colOff>
                    <xdr:row>20</xdr:row>
                    <xdr:rowOff>28575</xdr:rowOff>
                  </to>
                </anchor>
              </controlPr>
            </control>
          </mc:Choice>
        </mc:AlternateContent>
        <mc:AlternateContent xmlns:mc="http://schemas.openxmlformats.org/markup-compatibility/2006">
          <mc:Choice Requires="x14">
            <control shapeId="5223" r:id="rId14" name="CheckBox_E20">
              <controlPr defaultSize="0" autoFill="0" autoLine="0" autoPict="0" macro="[0]!CheckboxClick">
                <anchor moveWithCells="1">
                  <from>
                    <xdr:col>4</xdr:col>
                    <xdr:colOff>1685925</xdr:colOff>
                    <xdr:row>18</xdr:row>
                    <xdr:rowOff>133350</xdr:rowOff>
                  </from>
                  <to>
                    <xdr:col>5</xdr:col>
                    <xdr:colOff>9525</xdr:colOff>
                    <xdr:row>20</xdr:row>
                    <xdr:rowOff>28575</xdr:rowOff>
                  </to>
                </anchor>
              </controlPr>
            </control>
          </mc:Choice>
        </mc:AlternateContent>
        <mc:AlternateContent xmlns:mc="http://schemas.openxmlformats.org/markup-compatibility/2006">
          <mc:Choice Requires="x14">
            <control shapeId="5224" r:id="rId15" name="CheckBox_C21">
              <controlPr defaultSize="0" autoFill="0" autoLine="0" autoPict="0" macro="[0]!CheckboxClick">
                <anchor moveWithCells="1">
                  <from>
                    <xdr:col>2</xdr:col>
                    <xdr:colOff>866775</xdr:colOff>
                    <xdr:row>19</xdr:row>
                    <xdr:rowOff>133350</xdr:rowOff>
                  </from>
                  <to>
                    <xdr:col>3</xdr:col>
                    <xdr:colOff>57150</xdr:colOff>
                    <xdr:row>21</xdr:row>
                    <xdr:rowOff>28575</xdr:rowOff>
                  </to>
                </anchor>
              </controlPr>
            </control>
          </mc:Choice>
        </mc:AlternateContent>
        <mc:AlternateContent xmlns:mc="http://schemas.openxmlformats.org/markup-compatibility/2006">
          <mc:Choice Requires="x14">
            <control shapeId="5225" r:id="rId16" name="CheckBox_G21">
              <controlPr defaultSize="0" autoFill="0" autoLine="0" autoPict="0" macro="[0]!CheckboxClick">
                <anchor moveWithCells="1">
                  <from>
                    <xdr:col>6</xdr:col>
                    <xdr:colOff>1028700</xdr:colOff>
                    <xdr:row>19</xdr:row>
                    <xdr:rowOff>133350</xdr:rowOff>
                  </from>
                  <to>
                    <xdr:col>7</xdr:col>
                    <xdr:colOff>9525</xdr:colOff>
                    <xdr:row>21</xdr:row>
                    <xdr:rowOff>28575</xdr:rowOff>
                  </to>
                </anchor>
              </controlPr>
            </control>
          </mc:Choice>
        </mc:AlternateContent>
        <mc:AlternateContent xmlns:mc="http://schemas.openxmlformats.org/markup-compatibility/2006">
          <mc:Choice Requires="x14">
            <control shapeId="5226" r:id="rId17" name="CheckBox_E21">
              <controlPr defaultSize="0" autoFill="0" autoLine="0" autoPict="0" macro="[0]!CheckboxClick">
                <anchor moveWithCells="1">
                  <from>
                    <xdr:col>4</xdr:col>
                    <xdr:colOff>1685925</xdr:colOff>
                    <xdr:row>19</xdr:row>
                    <xdr:rowOff>133350</xdr:rowOff>
                  </from>
                  <to>
                    <xdr:col>5</xdr:col>
                    <xdr:colOff>9525</xdr:colOff>
                    <xdr:row>21</xdr:row>
                    <xdr:rowOff>28575</xdr:rowOff>
                  </to>
                </anchor>
              </controlPr>
            </control>
          </mc:Choice>
        </mc:AlternateContent>
        <mc:AlternateContent xmlns:mc="http://schemas.openxmlformats.org/markup-compatibility/2006">
          <mc:Choice Requires="x14">
            <control shapeId="5227" r:id="rId18" name="CheckBox_C22">
              <controlPr defaultSize="0" autoFill="0" autoLine="0" autoPict="0" macro="[0]!CheckboxClick">
                <anchor moveWithCells="1">
                  <from>
                    <xdr:col>2</xdr:col>
                    <xdr:colOff>866775</xdr:colOff>
                    <xdr:row>20</xdr:row>
                    <xdr:rowOff>133350</xdr:rowOff>
                  </from>
                  <to>
                    <xdr:col>3</xdr:col>
                    <xdr:colOff>57150</xdr:colOff>
                    <xdr:row>22</xdr:row>
                    <xdr:rowOff>28575</xdr:rowOff>
                  </to>
                </anchor>
              </controlPr>
            </control>
          </mc:Choice>
        </mc:AlternateContent>
        <mc:AlternateContent xmlns:mc="http://schemas.openxmlformats.org/markup-compatibility/2006">
          <mc:Choice Requires="x14">
            <control shapeId="5228" r:id="rId19" name="CheckBox_G22">
              <controlPr defaultSize="0" autoFill="0" autoLine="0" autoPict="0" macro="[0]!CheckboxClick">
                <anchor moveWithCells="1">
                  <from>
                    <xdr:col>6</xdr:col>
                    <xdr:colOff>1028700</xdr:colOff>
                    <xdr:row>20</xdr:row>
                    <xdr:rowOff>133350</xdr:rowOff>
                  </from>
                  <to>
                    <xdr:col>7</xdr:col>
                    <xdr:colOff>9525</xdr:colOff>
                    <xdr:row>22</xdr:row>
                    <xdr:rowOff>28575</xdr:rowOff>
                  </to>
                </anchor>
              </controlPr>
            </control>
          </mc:Choice>
        </mc:AlternateContent>
        <mc:AlternateContent xmlns:mc="http://schemas.openxmlformats.org/markup-compatibility/2006">
          <mc:Choice Requires="x14">
            <control shapeId="5229" r:id="rId20" name="CheckBox_E22">
              <controlPr defaultSize="0" autoFill="0" autoLine="0" autoPict="0" macro="[0]!CheckboxClick">
                <anchor moveWithCells="1">
                  <from>
                    <xdr:col>4</xdr:col>
                    <xdr:colOff>1685925</xdr:colOff>
                    <xdr:row>20</xdr:row>
                    <xdr:rowOff>133350</xdr:rowOff>
                  </from>
                  <to>
                    <xdr:col>5</xdr:col>
                    <xdr:colOff>9525</xdr:colOff>
                    <xdr:row>22</xdr:row>
                    <xdr:rowOff>28575</xdr:rowOff>
                  </to>
                </anchor>
              </controlPr>
            </control>
          </mc:Choice>
        </mc:AlternateContent>
        <mc:AlternateContent xmlns:mc="http://schemas.openxmlformats.org/markup-compatibility/2006">
          <mc:Choice Requires="x14">
            <control shapeId="5230" r:id="rId21" name="CheckBox_C25">
              <controlPr defaultSize="0" autoFill="0" autoLine="0" autoPict="0" macro="[0]!CheckboxClick">
                <anchor moveWithCells="1">
                  <from>
                    <xdr:col>2</xdr:col>
                    <xdr:colOff>866775</xdr:colOff>
                    <xdr:row>23</xdr:row>
                    <xdr:rowOff>133350</xdr:rowOff>
                  </from>
                  <to>
                    <xdr:col>3</xdr:col>
                    <xdr:colOff>57150</xdr:colOff>
                    <xdr:row>25</xdr:row>
                    <xdr:rowOff>28575</xdr:rowOff>
                  </to>
                </anchor>
              </controlPr>
            </control>
          </mc:Choice>
        </mc:AlternateContent>
        <mc:AlternateContent xmlns:mc="http://schemas.openxmlformats.org/markup-compatibility/2006">
          <mc:Choice Requires="x14">
            <control shapeId="5231" r:id="rId22" name="CheckBox_G25">
              <controlPr defaultSize="0" autoFill="0" autoLine="0" autoPict="0" macro="[0]!CheckboxClick">
                <anchor moveWithCells="1">
                  <from>
                    <xdr:col>6</xdr:col>
                    <xdr:colOff>1028700</xdr:colOff>
                    <xdr:row>23</xdr:row>
                    <xdr:rowOff>133350</xdr:rowOff>
                  </from>
                  <to>
                    <xdr:col>7</xdr:col>
                    <xdr:colOff>9525</xdr:colOff>
                    <xdr:row>25</xdr:row>
                    <xdr:rowOff>28575</xdr:rowOff>
                  </to>
                </anchor>
              </controlPr>
            </control>
          </mc:Choice>
        </mc:AlternateContent>
        <mc:AlternateContent xmlns:mc="http://schemas.openxmlformats.org/markup-compatibility/2006">
          <mc:Choice Requires="x14">
            <control shapeId="5232" r:id="rId23" name="CheckBox_E25">
              <controlPr defaultSize="0" autoFill="0" autoLine="0" autoPict="0" macro="[0]!CheckboxClick">
                <anchor moveWithCells="1">
                  <from>
                    <xdr:col>4</xdr:col>
                    <xdr:colOff>1685925</xdr:colOff>
                    <xdr:row>23</xdr:row>
                    <xdr:rowOff>133350</xdr:rowOff>
                  </from>
                  <to>
                    <xdr:col>5</xdr:col>
                    <xdr:colOff>9525</xdr:colOff>
                    <xdr:row>25</xdr:row>
                    <xdr:rowOff>28575</xdr:rowOff>
                  </to>
                </anchor>
              </controlPr>
            </control>
          </mc:Choice>
        </mc:AlternateContent>
        <mc:AlternateContent xmlns:mc="http://schemas.openxmlformats.org/markup-compatibility/2006">
          <mc:Choice Requires="x14">
            <control shapeId="5233" r:id="rId24" name="CheckBox_C26">
              <controlPr defaultSize="0" autoFill="0" autoLine="0" autoPict="0" macro="[0]!CheckboxClick">
                <anchor moveWithCells="1">
                  <from>
                    <xdr:col>2</xdr:col>
                    <xdr:colOff>866775</xdr:colOff>
                    <xdr:row>24</xdr:row>
                    <xdr:rowOff>133350</xdr:rowOff>
                  </from>
                  <to>
                    <xdr:col>3</xdr:col>
                    <xdr:colOff>57150</xdr:colOff>
                    <xdr:row>26</xdr:row>
                    <xdr:rowOff>28575</xdr:rowOff>
                  </to>
                </anchor>
              </controlPr>
            </control>
          </mc:Choice>
        </mc:AlternateContent>
        <mc:AlternateContent xmlns:mc="http://schemas.openxmlformats.org/markup-compatibility/2006">
          <mc:Choice Requires="x14">
            <control shapeId="5234" r:id="rId25" name="CheckBox_G26">
              <controlPr defaultSize="0" autoFill="0" autoLine="0" autoPict="0" macro="[0]!CheckboxClick">
                <anchor moveWithCells="1">
                  <from>
                    <xdr:col>6</xdr:col>
                    <xdr:colOff>1028700</xdr:colOff>
                    <xdr:row>24</xdr:row>
                    <xdr:rowOff>133350</xdr:rowOff>
                  </from>
                  <to>
                    <xdr:col>7</xdr:col>
                    <xdr:colOff>9525</xdr:colOff>
                    <xdr:row>26</xdr:row>
                    <xdr:rowOff>28575</xdr:rowOff>
                  </to>
                </anchor>
              </controlPr>
            </control>
          </mc:Choice>
        </mc:AlternateContent>
        <mc:AlternateContent xmlns:mc="http://schemas.openxmlformats.org/markup-compatibility/2006">
          <mc:Choice Requires="x14">
            <control shapeId="5235" r:id="rId26" name="CheckBox_E26">
              <controlPr defaultSize="0" autoFill="0" autoLine="0" autoPict="0" macro="[0]!CheckboxClick">
                <anchor moveWithCells="1">
                  <from>
                    <xdr:col>4</xdr:col>
                    <xdr:colOff>1685925</xdr:colOff>
                    <xdr:row>24</xdr:row>
                    <xdr:rowOff>133350</xdr:rowOff>
                  </from>
                  <to>
                    <xdr:col>5</xdr:col>
                    <xdr:colOff>9525</xdr:colOff>
                    <xdr:row>26</xdr:row>
                    <xdr:rowOff>28575</xdr:rowOff>
                  </to>
                </anchor>
              </controlPr>
            </control>
          </mc:Choice>
        </mc:AlternateContent>
        <mc:AlternateContent xmlns:mc="http://schemas.openxmlformats.org/markup-compatibility/2006">
          <mc:Choice Requires="x14">
            <control shapeId="5236" r:id="rId27" name="CheckBox_C29">
              <controlPr defaultSize="0" autoFill="0" autoLine="0" autoPict="0" macro="[0]!CheckboxClick">
                <anchor moveWithCells="1">
                  <from>
                    <xdr:col>2</xdr:col>
                    <xdr:colOff>866775</xdr:colOff>
                    <xdr:row>27</xdr:row>
                    <xdr:rowOff>133350</xdr:rowOff>
                  </from>
                  <to>
                    <xdr:col>3</xdr:col>
                    <xdr:colOff>57150</xdr:colOff>
                    <xdr:row>29</xdr:row>
                    <xdr:rowOff>28575</xdr:rowOff>
                  </to>
                </anchor>
              </controlPr>
            </control>
          </mc:Choice>
        </mc:AlternateContent>
        <mc:AlternateContent xmlns:mc="http://schemas.openxmlformats.org/markup-compatibility/2006">
          <mc:Choice Requires="x14">
            <control shapeId="5237" r:id="rId28" name="CheckBox_G29">
              <controlPr defaultSize="0" autoFill="0" autoLine="0" autoPict="0" macro="[0]!CheckboxClick">
                <anchor moveWithCells="1">
                  <from>
                    <xdr:col>6</xdr:col>
                    <xdr:colOff>1028700</xdr:colOff>
                    <xdr:row>27</xdr:row>
                    <xdr:rowOff>133350</xdr:rowOff>
                  </from>
                  <to>
                    <xdr:col>7</xdr:col>
                    <xdr:colOff>9525</xdr:colOff>
                    <xdr:row>29</xdr:row>
                    <xdr:rowOff>28575</xdr:rowOff>
                  </to>
                </anchor>
              </controlPr>
            </control>
          </mc:Choice>
        </mc:AlternateContent>
        <mc:AlternateContent xmlns:mc="http://schemas.openxmlformats.org/markup-compatibility/2006">
          <mc:Choice Requires="x14">
            <control shapeId="5238" r:id="rId29" name="CheckBox_E29">
              <controlPr defaultSize="0" autoFill="0" autoLine="0" autoPict="0" macro="[0]!CheckboxClick">
                <anchor moveWithCells="1">
                  <from>
                    <xdr:col>4</xdr:col>
                    <xdr:colOff>1685925</xdr:colOff>
                    <xdr:row>27</xdr:row>
                    <xdr:rowOff>133350</xdr:rowOff>
                  </from>
                  <to>
                    <xdr:col>5</xdr:col>
                    <xdr:colOff>9525</xdr:colOff>
                    <xdr:row>29</xdr:row>
                    <xdr:rowOff>28575</xdr:rowOff>
                  </to>
                </anchor>
              </controlPr>
            </control>
          </mc:Choice>
        </mc:AlternateContent>
        <mc:AlternateContent xmlns:mc="http://schemas.openxmlformats.org/markup-compatibility/2006">
          <mc:Choice Requires="x14">
            <control shapeId="5239" r:id="rId30" name="CheckBox_C30">
              <controlPr defaultSize="0" autoFill="0" autoLine="0" autoPict="0" macro="[0]!CheckboxClick">
                <anchor moveWithCells="1">
                  <from>
                    <xdr:col>2</xdr:col>
                    <xdr:colOff>866775</xdr:colOff>
                    <xdr:row>28</xdr:row>
                    <xdr:rowOff>133350</xdr:rowOff>
                  </from>
                  <to>
                    <xdr:col>3</xdr:col>
                    <xdr:colOff>57150</xdr:colOff>
                    <xdr:row>30</xdr:row>
                    <xdr:rowOff>28575</xdr:rowOff>
                  </to>
                </anchor>
              </controlPr>
            </control>
          </mc:Choice>
        </mc:AlternateContent>
        <mc:AlternateContent xmlns:mc="http://schemas.openxmlformats.org/markup-compatibility/2006">
          <mc:Choice Requires="x14">
            <control shapeId="5240" r:id="rId31" name="CheckBox_G30">
              <controlPr defaultSize="0" autoFill="0" autoLine="0" autoPict="0" macro="[0]!CheckboxClick">
                <anchor moveWithCells="1">
                  <from>
                    <xdr:col>6</xdr:col>
                    <xdr:colOff>1028700</xdr:colOff>
                    <xdr:row>28</xdr:row>
                    <xdr:rowOff>133350</xdr:rowOff>
                  </from>
                  <to>
                    <xdr:col>7</xdr:col>
                    <xdr:colOff>9525</xdr:colOff>
                    <xdr:row>30</xdr:row>
                    <xdr:rowOff>28575</xdr:rowOff>
                  </to>
                </anchor>
              </controlPr>
            </control>
          </mc:Choice>
        </mc:AlternateContent>
        <mc:AlternateContent xmlns:mc="http://schemas.openxmlformats.org/markup-compatibility/2006">
          <mc:Choice Requires="x14">
            <control shapeId="5241" r:id="rId32" name="CheckBox_E30">
              <controlPr defaultSize="0" autoFill="0" autoLine="0" autoPict="0" macro="[0]!CheckboxClick">
                <anchor moveWithCells="1">
                  <from>
                    <xdr:col>4</xdr:col>
                    <xdr:colOff>1685925</xdr:colOff>
                    <xdr:row>28</xdr:row>
                    <xdr:rowOff>133350</xdr:rowOff>
                  </from>
                  <to>
                    <xdr:col>5</xdr:col>
                    <xdr:colOff>9525</xdr:colOff>
                    <xdr:row>30</xdr:row>
                    <xdr:rowOff>28575</xdr:rowOff>
                  </to>
                </anchor>
              </controlPr>
            </control>
          </mc:Choice>
        </mc:AlternateContent>
        <mc:AlternateContent xmlns:mc="http://schemas.openxmlformats.org/markup-compatibility/2006">
          <mc:Choice Requires="x14">
            <control shapeId="5245" r:id="rId33" name="CheckBox_C31">
              <controlPr defaultSize="0" autoFill="0" autoLine="0" autoPict="0" macro="[0]!CheckboxClick">
                <anchor moveWithCells="1">
                  <from>
                    <xdr:col>2</xdr:col>
                    <xdr:colOff>866775</xdr:colOff>
                    <xdr:row>29</xdr:row>
                    <xdr:rowOff>142875</xdr:rowOff>
                  </from>
                  <to>
                    <xdr:col>3</xdr:col>
                    <xdr:colOff>57150</xdr:colOff>
                    <xdr:row>31</xdr:row>
                    <xdr:rowOff>28575</xdr:rowOff>
                  </to>
                </anchor>
              </controlPr>
            </control>
          </mc:Choice>
        </mc:AlternateContent>
        <mc:AlternateContent xmlns:mc="http://schemas.openxmlformats.org/markup-compatibility/2006">
          <mc:Choice Requires="x14">
            <control shapeId="5246" r:id="rId34" name="CheckBox_G31">
              <controlPr defaultSize="0" autoFill="0" autoLine="0" autoPict="0" macro="[0]!CheckboxClick">
                <anchor moveWithCells="1">
                  <from>
                    <xdr:col>6</xdr:col>
                    <xdr:colOff>1028700</xdr:colOff>
                    <xdr:row>29</xdr:row>
                    <xdr:rowOff>142875</xdr:rowOff>
                  </from>
                  <to>
                    <xdr:col>7</xdr:col>
                    <xdr:colOff>9525</xdr:colOff>
                    <xdr:row>31</xdr:row>
                    <xdr:rowOff>28575</xdr:rowOff>
                  </to>
                </anchor>
              </controlPr>
            </control>
          </mc:Choice>
        </mc:AlternateContent>
        <mc:AlternateContent xmlns:mc="http://schemas.openxmlformats.org/markup-compatibility/2006">
          <mc:Choice Requires="x14">
            <control shapeId="5247" r:id="rId35" name="CheckBox_E31">
              <controlPr defaultSize="0" autoFill="0" autoLine="0" autoPict="0" macro="[0]!CheckboxClick">
                <anchor moveWithCells="1">
                  <from>
                    <xdr:col>4</xdr:col>
                    <xdr:colOff>1685925</xdr:colOff>
                    <xdr:row>29</xdr:row>
                    <xdr:rowOff>142875</xdr:rowOff>
                  </from>
                  <to>
                    <xdr:col>5</xdr:col>
                    <xdr:colOff>9525</xdr:colOff>
                    <xdr:row>31</xdr:row>
                    <xdr:rowOff>28575</xdr:rowOff>
                  </to>
                </anchor>
              </controlPr>
            </control>
          </mc:Choice>
        </mc:AlternateContent>
        <mc:AlternateContent xmlns:mc="http://schemas.openxmlformats.org/markup-compatibility/2006">
          <mc:Choice Requires="x14">
            <control shapeId="5248" r:id="rId36" name="CheckBox_C32">
              <controlPr defaultSize="0" autoFill="0" autoLine="0" autoPict="0" macro="[0]!CheckboxClick">
                <anchor moveWithCells="1">
                  <from>
                    <xdr:col>2</xdr:col>
                    <xdr:colOff>866775</xdr:colOff>
                    <xdr:row>30</xdr:row>
                    <xdr:rowOff>133350</xdr:rowOff>
                  </from>
                  <to>
                    <xdr:col>3</xdr:col>
                    <xdr:colOff>57150</xdr:colOff>
                    <xdr:row>32</xdr:row>
                    <xdr:rowOff>28575</xdr:rowOff>
                  </to>
                </anchor>
              </controlPr>
            </control>
          </mc:Choice>
        </mc:AlternateContent>
        <mc:AlternateContent xmlns:mc="http://schemas.openxmlformats.org/markup-compatibility/2006">
          <mc:Choice Requires="x14">
            <control shapeId="5249" r:id="rId37" name="CheckBox_G32">
              <controlPr defaultSize="0" autoFill="0" autoLine="0" autoPict="0" macro="[0]!CheckboxClick">
                <anchor moveWithCells="1">
                  <from>
                    <xdr:col>6</xdr:col>
                    <xdr:colOff>1028700</xdr:colOff>
                    <xdr:row>30</xdr:row>
                    <xdr:rowOff>133350</xdr:rowOff>
                  </from>
                  <to>
                    <xdr:col>7</xdr:col>
                    <xdr:colOff>9525</xdr:colOff>
                    <xdr:row>32</xdr:row>
                    <xdr:rowOff>28575</xdr:rowOff>
                  </to>
                </anchor>
              </controlPr>
            </control>
          </mc:Choice>
        </mc:AlternateContent>
        <mc:AlternateContent xmlns:mc="http://schemas.openxmlformats.org/markup-compatibility/2006">
          <mc:Choice Requires="x14">
            <control shapeId="5250" r:id="rId38" name="CheckBox_E32">
              <controlPr defaultSize="0" autoFill="0" autoLine="0" autoPict="0" macro="[0]!CheckboxClick">
                <anchor moveWithCells="1">
                  <from>
                    <xdr:col>4</xdr:col>
                    <xdr:colOff>1685925</xdr:colOff>
                    <xdr:row>30</xdr:row>
                    <xdr:rowOff>133350</xdr:rowOff>
                  </from>
                  <to>
                    <xdr:col>5</xdr:col>
                    <xdr:colOff>9525</xdr:colOff>
                    <xdr:row>32</xdr:row>
                    <xdr:rowOff>28575</xdr:rowOff>
                  </to>
                </anchor>
              </controlPr>
            </control>
          </mc:Choice>
        </mc:AlternateContent>
        <mc:AlternateContent xmlns:mc="http://schemas.openxmlformats.org/markup-compatibility/2006">
          <mc:Choice Requires="x14">
            <control shapeId="5251" r:id="rId39" name="CheckBox_C35">
              <controlPr defaultSize="0" autoFill="0" autoLine="0" autoPict="0" macro="[0]!CheckboxClick">
                <anchor moveWithCells="1">
                  <from>
                    <xdr:col>2</xdr:col>
                    <xdr:colOff>866775</xdr:colOff>
                    <xdr:row>33</xdr:row>
                    <xdr:rowOff>133350</xdr:rowOff>
                  </from>
                  <to>
                    <xdr:col>3</xdr:col>
                    <xdr:colOff>57150</xdr:colOff>
                    <xdr:row>35</xdr:row>
                    <xdr:rowOff>28575</xdr:rowOff>
                  </to>
                </anchor>
              </controlPr>
            </control>
          </mc:Choice>
        </mc:AlternateContent>
        <mc:AlternateContent xmlns:mc="http://schemas.openxmlformats.org/markup-compatibility/2006">
          <mc:Choice Requires="x14">
            <control shapeId="5252" r:id="rId40" name="CheckBox_G35">
              <controlPr defaultSize="0" autoFill="0" autoLine="0" autoPict="0" macro="[0]!CheckboxClick">
                <anchor moveWithCells="1">
                  <from>
                    <xdr:col>6</xdr:col>
                    <xdr:colOff>1028700</xdr:colOff>
                    <xdr:row>33</xdr:row>
                    <xdr:rowOff>133350</xdr:rowOff>
                  </from>
                  <to>
                    <xdr:col>7</xdr:col>
                    <xdr:colOff>9525</xdr:colOff>
                    <xdr:row>35</xdr:row>
                    <xdr:rowOff>28575</xdr:rowOff>
                  </to>
                </anchor>
              </controlPr>
            </control>
          </mc:Choice>
        </mc:AlternateContent>
        <mc:AlternateContent xmlns:mc="http://schemas.openxmlformats.org/markup-compatibility/2006">
          <mc:Choice Requires="x14">
            <control shapeId="5253" r:id="rId41" name="CheckBox_E35">
              <controlPr defaultSize="0" autoFill="0" autoLine="0" autoPict="0" macro="[0]!CheckboxClick">
                <anchor moveWithCells="1">
                  <from>
                    <xdr:col>4</xdr:col>
                    <xdr:colOff>1685925</xdr:colOff>
                    <xdr:row>33</xdr:row>
                    <xdr:rowOff>133350</xdr:rowOff>
                  </from>
                  <to>
                    <xdr:col>5</xdr:col>
                    <xdr:colOff>9525</xdr:colOff>
                    <xdr:row>35</xdr:row>
                    <xdr:rowOff>28575</xdr:rowOff>
                  </to>
                </anchor>
              </controlPr>
            </control>
          </mc:Choice>
        </mc:AlternateContent>
        <mc:AlternateContent xmlns:mc="http://schemas.openxmlformats.org/markup-compatibility/2006">
          <mc:Choice Requires="x14">
            <control shapeId="5254" r:id="rId42" name="CheckBox_C36">
              <controlPr defaultSize="0" autoFill="0" autoLine="0" autoPict="0" macro="[0]!CheckboxClick">
                <anchor moveWithCells="1">
                  <from>
                    <xdr:col>2</xdr:col>
                    <xdr:colOff>866775</xdr:colOff>
                    <xdr:row>34</xdr:row>
                    <xdr:rowOff>133350</xdr:rowOff>
                  </from>
                  <to>
                    <xdr:col>3</xdr:col>
                    <xdr:colOff>57150</xdr:colOff>
                    <xdr:row>36</xdr:row>
                    <xdr:rowOff>28575</xdr:rowOff>
                  </to>
                </anchor>
              </controlPr>
            </control>
          </mc:Choice>
        </mc:AlternateContent>
        <mc:AlternateContent xmlns:mc="http://schemas.openxmlformats.org/markup-compatibility/2006">
          <mc:Choice Requires="x14">
            <control shapeId="5255" r:id="rId43" name="CheckBox_G36">
              <controlPr defaultSize="0" autoFill="0" autoLine="0" autoPict="0" macro="[0]!CheckboxClick">
                <anchor moveWithCells="1">
                  <from>
                    <xdr:col>6</xdr:col>
                    <xdr:colOff>1028700</xdr:colOff>
                    <xdr:row>34</xdr:row>
                    <xdr:rowOff>133350</xdr:rowOff>
                  </from>
                  <to>
                    <xdr:col>7</xdr:col>
                    <xdr:colOff>9525</xdr:colOff>
                    <xdr:row>36</xdr:row>
                    <xdr:rowOff>28575</xdr:rowOff>
                  </to>
                </anchor>
              </controlPr>
            </control>
          </mc:Choice>
        </mc:AlternateContent>
        <mc:AlternateContent xmlns:mc="http://schemas.openxmlformats.org/markup-compatibility/2006">
          <mc:Choice Requires="x14">
            <control shapeId="5256" r:id="rId44" name="CheckBox_E36">
              <controlPr defaultSize="0" autoFill="0" autoLine="0" autoPict="0" macro="[0]!CheckboxClick">
                <anchor moveWithCells="1">
                  <from>
                    <xdr:col>4</xdr:col>
                    <xdr:colOff>1685925</xdr:colOff>
                    <xdr:row>34</xdr:row>
                    <xdr:rowOff>133350</xdr:rowOff>
                  </from>
                  <to>
                    <xdr:col>5</xdr:col>
                    <xdr:colOff>9525</xdr:colOff>
                    <xdr:row>36</xdr:row>
                    <xdr:rowOff>28575</xdr:rowOff>
                  </to>
                </anchor>
              </controlPr>
            </control>
          </mc:Choice>
        </mc:AlternateContent>
        <mc:AlternateContent xmlns:mc="http://schemas.openxmlformats.org/markup-compatibility/2006">
          <mc:Choice Requires="x14">
            <control shapeId="5257" r:id="rId45" name="CheckBox_C37">
              <controlPr defaultSize="0" autoFill="0" autoLine="0" autoPict="0" macro="[0]!CheckboxClick">
                <anchor moveWithCells="1">
                  <from>
                    <xdr:col>2</xdr:col>
                    <xdr:colOff>866775</xdr:colOff>
                    <xdr:row>35</xdr:row>
                    <xdr:rowOff>133350</xdr:rowOff>
                  </from>
                  <to>
                    <xdr:col>3</xdr:col>
                    <xdr:colOff>57150</xdr:colOff>
                    <xdr:row>37</xdr:row>
                    <xdr:rowOff>28575</xdr:rowOff>
                  </to>
                </anchor>
              </controlPr>
            </control>
          </mc:Choice>
        </mc:AlternateContent>
        <mc:AlternateContent xmlns:mc="http://schemas.openxmlformats.org/markup-compatibility/2006">
          <mc:Choice Requires="x14">
            <control shapeId="5258" r:id="rId46" name="CheckBox_G37">
              <controlPr defaultSize="0" autoFill="0" autoLine="0" autoPict="0" macro="[0]!CheckboxClick">
                <anchor moveWithCells="1">
                  <from>
                    <xdr:col>6</xdr:col>
                    <xdr:colOff>1028700</xdr:colOff>
                    <xdr:row>35</xdr:row>
                    <xdr:rowOff>133350</xdr:rowOff>
                  </from>
                  <to>
                    <xdr:col>7</xdr:col>
                    <xdr:colOff>9525</xdr:colOff>
                    <xdr:row>37</xdr:row>
                    <xdr:rowOff>28575</xdr:rowOff>
                  </to>
                </anchor>
              </controlPr>
            </control>
          </mc:Choice>
        </mc:AlternateContent>
        <mc:AlternateContent xmlns:mc="http://schemas.openxmlformats.org/markup-compatibility/2006">
          <mc:Choice Requires="x14">
            <control shapeId="5259" r:id="rId47" name="CheckBox_E37">
              <controlPr defaultSize="0" autoFill="0" autoLine="0" autoPict="0" macro="[0]!CheckboxClick">
                <anchor moveWithCells="1">
                  <from>
                    <xdr:col>4</xdr:col>
                    <xdr:colOff>1685925</xdr:colOff>
                    <xdr:row>35</xdr:row>
                    <xdr:rowOff>133350</xdr:rowOff>
                  </from>
                  <to>
                    <xdr:col>5</xdr:col>
                    <xdr:colOff>9525</xdr:colOff>
                    <xdr:row>37</xdr:row>
                    <xdr:rowOff>28575</xdr:rowOff>
                  </to>
                </anchor>
              </controlPr>
            </control>
          </mc:Choice>
        </mc:AlternateContent>
        <mc:AlternateContent xmlns:mc="http://schemas.openxmlformats.org/markup-compatibility/2006">
          <mc:Choice Requires="x14">
            <control shapeId="5260" r:id="rId48" name="CheckBox_C39">
              <controlPr defaultSize="0" autoFill="0" autoLine="0" autoPict="0" macro="[0]!CheckboxClick">
                <anchor moveWithCells="1">
                  <from>
                    <xdr:col>2</xdr:col>
                    <xdr:colOff>866775</xdr:colOff>
                    <xdr:row>37</xdr:row>
                    <xdr:rowOff>133350</xdr:rowOff>
                  </from>
                  <to>
                    <xdr:col>3</xdr:col>
                    <xdr:colOff>57150</xdr:colOff>
                    <xdr:row>39</xdr:row>
                    <xdr:rowOff>28575</xdr:rowOff>
                  </to>
                </anchor>
              </controlPr>
            </control>
          </mc:Choice>
        </mc:AlternateContent>
        <mc:AlternateContent xmlns:mc="http://schemas.openxmlformats.org/markup-compatibility/2006">
          <mc:Choice Requires="x14">
            <control shapeId="5261" r:id="rId49" name="CheckBox_G39">
              <controlPr defaultSize="0" autoFill="0" autoLine="0" autoPict="0" macro="[0]!CheckboxClick">
                <anchor moveWithCells="1">
                  <from>
                    <xdr:col>6</xdr:col>
                    <xdr:colOff>1028700</xdr:colOff>
                    <xdr:row>37</xdr:row>
                    <xdr:rowOff>133350</xdr:rowOff>
                  </from>
                  <to>
                    <xdr:col>7</xdr:col>
                    <xdr:colOff>9525</xdr:colOff>
                    <xdr:row>39</xdr:row>
                    <xdr:rowOff>28575</xdr:rowOff>
                  </to>
                </anchor>
              </controlPr>
            </control>
          </mc:Choice>
        </mc:AlternateContent>
        <mc:AlternateContent xmlns:mc="http://schemas.openxmlformats.org/markup-compatibility/2006">
          <mc:Choice Requires="x14">
            <control shapeId="5262" r:id="rId50" name="CheckBox_E39">
              <controlPr defaultSize="0" autoFill="0" autoLine="0" autoPict="0" macro="[0]!CheckboxClick">
                <anchor moveWithCells="1">
                  <from>
                    <xdr:col>4</xdr:col>
                    <xdr:colOff>1685925</xdr:colOff>
                    <xdr:row>37</xdr:row>
                    <xdr:rowOff>133350</xdr:rowOff>
                  </from>
                  <to>
                    <xdr:col>5</xdr:col>
                    <xdr:colOff>9525</xdr:colOff>
                    <xdr:row>39</xdr:row>
                    <xdr:rowOff>28575</xdr:rowOff>
                  </to>
                </anchor>
              </controlPr>
            </control>
          </mc:Choice>
        </mc:AlternateContent>
        <mc:AlternateContent xmlns:mc="http://schemas.openxmlformats.org/markup-compatibility/2006">
          <mc:Choice Requires="x14">
            <control shapeId="5263" r:id="rId51" name="CheckBox_C40">
              <controlPr defaultSize="0" autoFill="0" autoLine="0" autoPict="0" macro="[0]!CheckboxClick">
                <anchor moveWithCells="1">
                  <from>
                    <xdr:col>2</xdr:col>
                    <xdr:colOff>866775</xdr:colOff>
                    <xdr:row>38</xdr:row>
                    <xdr:rowOff>133350</xdr:rowOff>
                  </from>
                  <to>
                    <xdr:col>3</xdr:col>
                    <xdr:colOff>57150</xdr:colOff>
                    <xdr:row>40</xdr:row>
                    <xdr:rowOff>28575</xdr:rowOff>
                  </to>
                </anchor>
              </controlPr>
            </control>
          </mc:Choice>
        </mc:AlternateContent>
        <mc:AlternateContent xmlns:mc="http://schemas.openxmlformats.org/markup-compatibility/2006">
          <mc:Choice Requires="x14">
            <control shapeId="5264" r:id="rId52" name="CheckBox_G40">
              <controlPr defaultSize="0" autoFill="0" autoLine="0" autoPict="0" macro="[0]!CheckboxClick">
                <anchor moveWithCells="1">
                  <from>
                    <xdr:col>6</xdr:col>
                    <xdr:colOff>1028700</xdr:colOff>
                    <xdr:row>38</xdr:row>
                    <xdr:rowOff>133350</xdr:rowOff>
                  </from>
                  <to>
                    <xdr:col>7</xdr:col>
                    <xdr:colOff>9525</xdr:colOff>
                    <xdr:row>40</xdr:row>
                    <xdr:rowOff>28575</xdr:rowOff>
                  </to>
                </anchor>
              </controlPr>
            </control>
          </mc:Choice>
        </mc:AlternateContent>
        <mc:AlternateContent xmlns:mc="http://schemas.openxmlformats.org/markup-compatibility/2006">
          <mc:Choice Requires="x14">
            <control shapeId="5265" r:id="rId53" name="CheckBox_E40">
              <controlPr defaultSize="0" autoFill="0" autoLine="0" autoPict="0" macro="[0]!CheckboxClick">
                <anchor moveWithCells="1">
                  <from>
                    <xdr:col>4</xdr:col>
                    <xdr:colOff>1685925</xdr:colOff>
                    <xdr:row>38</xdr:row>
                    <xdr:rowOff>133350</xdr:rowOff>
                  </from>
                  <to>
                    <xdr:col>5</xdr:col>
                    <xdr:colOff>9525</xdr:colOff>
                    <xdr:row>40</xdr:row>
                    <xdr:rowOff>28575</xdr:rowOff>
                  </to>
                </anchor>
              </controlPr>
            </control>
          </mc:Choice>
        </mc:AlternateContent>
        <mc:AlternateContent xmlns:mc="http://schemas.openxmlformats.org/markup-compatibility/2006">
          <mc:Choice Requires="x14">
            <control shapeId="5266" r:id="rId54" name="CheckBox_C38">
              <controlPr defaultSize="0" autoFill="0" autoLine="0" autoPict="0" macro="[0]!CheckboxClick">
                <anchor moveWithCells="1">
                  <from>
                    <xdr:col>2</xdr:col>
                    <xdr:colOff>866775</xdr:colOff>
                    <xdr:row>36</xdr:row>
                    <xdr:rowOff>133350</xdr:rowOff>
                  </from>
                  <to>
                    <xdr:col>3</xdr:col>
                    <xdr:colOff>57150</xdr:colOff>
                    <xdr:row>38</xdr:row>
                    <xdr:rowOff>28575</xdr:rowOff>
                  </to>
                </anchor>
              </controlPr>
            </control>
          </mc:Choice>
        </mc:AlternateContent>
        <mc:AlternateContent xmlns:mc="http://schemas.openxmlformats.org/markup-compatibility/2006">
          <mc:Choice Requires="x14">
            <control shapeId="5267" r:id="rId55" name="CheckBox_G38">
              <controlPr defaultSize="0" autoFill="0" autoLine="0" autoPict="0" macro="[0]!CheckboxClick">
                <anchor moveWithCells="1">
                  <from>
                    <xdr:col>6</xdr:col>
                    <xdr:colOff>1028700</xdr:colOff>
                    <xdr:row>36</xdr:row>
                    <xdr:rowOff>133350</xdr:rowOff>
                  </from>
                  <to>
                    <xdr:col>7</xdr:col>
                    <xdr:colOff>9525</xdr:colOff>
                    <xdr:row>38</xdr:row>
                    <xdr:rowOff>28575</xdr:rowOff>
                  </to>
                </anchor>
              </controlPr>
            </control>
          </mc:Choice>
        </mc:AlternateContent>
        <mc:AlternateContent xmlns:mc="http://schemas.openxmlformats.org/markup-compatibility/2006">
          <mc:Choice Requires="x14">
            <control shapeId="5268" r:id="rId56" name="CheckBox_E38">
              <controlPr defaultSize="0" autoFill="0" autoLine="0" autoPict="0" macro="[0]!CheckboxClick">
                <anchor moveWithCells="1">
                  <from>
                    <xdr:col>4</xdr:col>
                    <xdr:colOff>1685925</xdr:colOff>
                    <xdr:row>36</xdr:row>
                    <xdr:rowOff>133350</xdr:rowOff>
                  </from>
                  <to>
                    <xdr:col>5</xdr:col>
                    <xdr:colOff>9525</xdr:colOff>
                    <xdr:row>38</xdr:row>
                    <xdr:rowOff>28575</xdr:rowOff>
                  </to>
                </anchor>
              </controlPr>
            </control>
          </mc:Choice>
        </mc:AlternateContent>
        <mc:AlternateContent xmlns:mc="http://schemas.openxmlformats.org/markup-compatibility/2006">
          <mc:Choice Requires="x14">
            <control shapeId="5273" r:id="rId57" name="CheckBox_B9">
              <controlPr defaultSize="0" autoFill="0" autoLine="0" autoPict="0" macro="[0]!CheckboxClick">
                <anchor moveWithCells="1">
                  <from>
                    <xdr:col>1</xdr:col>
                    <xdr:colOff>371475</xdr:colOff>
                    <xdr:row>7</xdr:row>
                    <xdr:rowOff>133350</xdr:rowOff>
                  </from>
                  <to>
                    <xdr:col>2</xdr:col>
                    <xdr:colOff>47625</xdr:colOff>
                    <xdr:row>9</xdr:row>
                    <xdr:rowOff>28575</xdr:rowOff>
                  </to>
                </anchor>
              </controlPr>
            </control>
          </mc:Choice>
        </mc:AlternateContent>
        <mc:AlternateContent xmlns:mc="http://schemas.openxmlformats.org/markup-compatibility/2006">
          <mc:Choice Requires="x14">
            <control shapeId="5274" r:id="rId58" name="CheckBox_C41">
              <controlPr defaultSize="0" autoFill="0" autoLine="0" autoPict="0" macro="[0]!CheckboxClick">
                <anchor moveWithCells="1">
                  <from>
                    <xdr:col>2</xdr:col>
                    <xdr:colOff>866775</xdr:colOff>
                    <xdr:row>39</xdr:row>
                    <xdr:rowOff>133350</xdr:rowOff>
                  </from>
                  <to>
                    <xdr:col>3</xdr:col>
                    <xdr:colOff>57150</xdr:colOff>
                    <xdr:row>41</xdr:row>
                    <xdr:rowOff>28575</xdr:rowOff>
                  </to>
                </anchor>
              </controlPr>
            </control>
          </mc:Choice>
        </mc:AlternateContent>
        <mc:AlternateContent xmlns:mc="http://schemas.openxmlformats.org/markup-compatibility/2006">
          <mc:Choice Requires="x14">
            <control shapeId="5275" r:id="rId59" name="CheckBox_G41">
              <controlPr defaultSize="0" autoFill="0" autoLine="0" autoPict="0" macro="[0]!CheckboxClick">
                <anchor moveWithCells="1">
                  <from>
                    <xdr:col>6</xdr:col>
                    <xdr:colOff>1028700</xdr:colOff>
                    <xdr:row>39</xdr:row>
                    <xdr:rowOff>133350</xdr:rowOff>
                  </from>
                  <to>
                    <xdr:col>7</xdr:col>
                    <xdr:colOff>9525</xdr:colOff>
                    <xdr:row>41</xdr:row>
                    <xdr:rowOff>28575</xdr:rowOff>
                  </to>
                </anchor>
              </controlPr>
            </control>
          </mc:Choice>
        </mc:AlternateContent>
        <mc:AlternateContent xmlns:mc="http://schemas.openxmlformats.org/markup-compatibility/2006">
          <mc:Choice Requires="x14">
            <control shapeId="5276" r:id="rId60" name="CheckBox_E41">
              <controlPr defaultSize="0" autoFill="0" autoLine="0" autoPict="0" macro="[0]!CheckboxClick">
                <anchor moveWithCells="1">
                  <from>
                    <xdr:col>4</xdr:col>
                    <xdr:colOff>1685925</xdr:colOff>
                    <xdr:row>39</xdr:row>
                    <xdr:rowOff>133350</xdr:rowOff>
                  </from>
                  <to>
                    <xdr:col>5</xdr:col>
                    <xdr:colOff>9525</xdr:colOff>
                    <xdr:row>41</xdr:row>
                    <xdr:rowOff>28575</xdr:rowOff>
                  </to>
                </anchor>
              </controlPr>
            </control>
          </mc:Choice>
        </mc:AlternateContent>
        <mc:AlternateContent xmlns:mc="http://schemas.openxmlformats.org/markup-compatibility/2006">
          <mc:Choice Requires="x14">
            <control shapeId="5277" r:id="rId61" name="CheckBox_C42">
              <controlPr defaultSize="0" autoFill="0" autoLine="0" autoPict="0" macro="[0]!CheckboxClick">
                <anchor moveWithCells="1">
                  <from>
                    <xdr:col>2</xdr:col>
                    <xdr:colOff>866775</xdr:colOff>
                    <xdr:row>40</xdr:row>
                    <xdr:rowOff>133350</xdr:rowOff>
                  </from>
                  <to>
                    <xdr:col>3</xdr:col>
                    <xdr:colOff>57150</xdr:colOff>
                    <xdr:row>42</xdr:row>
                    <xdr:rowOff>28575</xdr:rowOff>
                  </to>
                </anchor>
              </controlPr>
            </control>
          </mc:Choice>
        </mc:AlternateContent>
        <mc:AlternateContent xmlns:mc="http://schemas.openxmlformats.org/markup-compatibility/2006">
          <mc:Choice Requires="x14">
            <control shapeId="5278" r:id="rId62" name="CheckBox_G42">
              <controlPr defaultSize="0" autoFill="0" autoLine="0" autoPict="0" macro="[0]!CheckboxClick">
                <anchor moveWithCells="1">
                  <from>
                    <xdr:col>6</xdr:col>
                    <xdr:colOff>1028700</xdr:colOff>
                    <xdr:row>40</xdr:row>
                    <xdr:rowOff>133350</xdr:rowOff>
                  </from>
                  <to>
                    <xdr:col>7</xdr:col>
                    <xdr:colOff>9525</xdr:colOff>
                    <xdr:row>42</xdr:row>
                    <xdr:rowOff>28575</xdr:rowOff>
                  </to>
                </anchor>
              </controlPr>
            </control>
          </mc:Choice>
        </mc:AlternateContent>
        <mc:AlternateContent xmlns:mc="http://schemas.openxmlformats.org/markup-compatibility/2006">
          <mc:Choice Requires="x14">
            <control shapeId="5279" r:id="rId63" name="CheckBox_E42">
              <controlPr defaultSize="0" autoFill="0" autoLine="0" autoPict="0" macro="[0]!CheckboxClick">
                <anchor moveWithCells="1">
                  <from>
                    <xdr:col>4</xdr:col>
                    <xdr:colOff>1685925</xdr:colOff>
                    <xdr:row>40</xdr:row>
                    <xdr:rowOff>133350</xdr:rowOff>
                  </from>
                  <to>
                    <xdr:col>5</xdr:col>
                    <xdr:colOff>9525</xdr:colOff>
                    <xdr:row>42</xdr:row>
                    <xdr:rowOff>28575</xdr:rowOff>
                  </to>
                </anchor>
              </controlPr>
            </control>
          </mc:Choice>
        </mc:AlternateContent>
        <mc:AlternateContent xmlns:mc="http://schemas.openxmlformats.org/markup-compatibility/2006">
          <mc:Choice Requires="x14">
            <control shapeId="5280" r:id="rId64" name="CheckBox_C43">
              <controlPr defaultSize="0" autoFill="0" autoLine="0" autoPict="0" macro="[0]!CheckboxClick">
                <anchor moveWithCells="1">
                  <from>
                    <xdr:col>2</xdr:col>
                    <xdr:colOff>866775</xdr:colOff>
                    <xdr:row>41</xdr:row>
                    <xdr:rowOff>133350</xdr:rowOff>
                  </from>
                  <to>
                    <xdr:col>3</xdr:col>
                    <xdr:colOff>57150</xdr:colOff>
                    <xdr:row>43</xdr:row>
                    <xdr:rowOff>28575</xdr:rowOff>
                  </to>
                </anchor>
              </controlPr>
            </control>
          </mc:Choice>
        </mc:AlternateContent>
        <mc:AlternateContent xmlns:mc="http://schemas.openxmlformats.org/markup-compatibility/2006">
          <mc:Choice Requires="x14">
            <control shapeId="5281" r:id="rId65" name="CheckBox_G43">
              <controlPr defaultSize="0" autoFill="0" autoLine="0" autoPict="0" macro="[0]!CheckboxClick">
                <anchor moveWithCells="1">
                  <from>
                    <xdr:col>6</xdr:col>
                    <xdr:colOff>1028700</xdr:colOff>
                    <xdr:row>41</xdr:row>
                    <xdr:rowOff>133350</xdr:rowOff>
                  </from>
                  <to>
                    <xdr:col>7</xdr:col>
                    <xdr:colOff>9525</xdr:colOff>
                    <xdr:row>43</xdr:row>
                    <xdr:rowOff>28575</xdr:rowOff>
                  </to>
                </anchor>
              </controlPr>
            </control>
          </mc:Choice>
        </mc:AlternateContent>
        <mc:AlternateContent xmlns:mc="http://schemas.openxmlformats.org/markup-compatibility/2006">
          <mc:Choice Requires="x14">
            <control shapeId="5282" r:id="rId66" name="CheckBox_E43">
              <controlPr defaultSize="0" autoFill="0" autoLine="0" autoPict="0" macro="[0]!CheckboxClick">
                <anchor moveWithCells="1">
                  <from>
                    <xdr:col>4</xdr:col>
                    <xdr:colOff>1685925</xdr:colOff>
                    <xdr:row>41</xdr:row>
                    <xdr:rowOff>133350</xdr:rowOff>
                  </from>
                  <to>
                    <xdr:col>5</xdr:col>
                    <xdr:colOff>9525</xdr:colOff>
                    <xdr:row>43</xdr:row>
                    <xdr:rowOff>28575</xdr:rowOff>
                  </to>
                </anchor>
              </controlPr>
            </control>
          </mc:Choice>
        </mc:AlternateContent>
        <mc:AlternateContent xmlns:mc="http://schemas.openxmlformats.org/markup-compatibility/2006">
          <mc:Choice Requires="x14">
            <control shapeId="5283" r:id="rId67" name="CheckBox_C44">
              <controlPr defaultSize="0" autoFill="0" autoLine="0" autoPict="0" macro="[0]!CheckboxClick">
                <anchor moveWithCells="1">
                  <from>
                    <xdr:col>2</xdr:col>
                    <xdr:colOff>866775</xdr:colOff>
                    <xdr:row>42</xdr:row>
                    <xdr:rowOff>133350</xdr:rowOff>
                  </from>
                  <to>
                    <xdr:col>3</xdr:col>
                    <xdr:colOff>57150</xdr:colOff>
                    <xdr:row>44</xdr:row>
                    <xdr:rowOff>28575</xdr:rowOff>
                  </to>
                </anchor>
              </controlPr>
            </control>
          </mc:Choice>
        </mc:AlternateContent>
        <mc:AlternateContent xmlns:mc="http://schemas.openxmlformats.org/markup-compatibility/2006">
          <mc:Choice Requires="x14">
            <control shapeId="5284" r:id="rId68" name="CheckBox_G44">
              <controlPr defaultSize="0" autoFill="0" autoLine="0" autoPict="0" macro="[0]!CheckboxClick">
                <anchor moveWithCells="1">
                  <from>
                    <xdr:col>6</xdr:col>
                    <xdr:colOff>1028700</xdr:colOff>
                    <xdr:row>42</xdr:row>
                    <xdr:rowOff>133350</xdr:rowOff>
                  </from>
                  <to>
                    <xdr:col>7</xdr:col>
                    <xdr:colOff>9525</xdr:colOff>
                    <xdr:row>44</xdr:row>
                    <xdr:rowOff>28575</xdr:rowOff>
                  </to>
                </anchor>
              </controlPr>
            </control>
          </mc:Choice>
        </mc:AlternateContent>
        <mc:AlternateContent xmlns:mc="http://schemas.openxmlformats.org/markup-compatibility/2006">
          <mc:Choice Requires="x14">
            <control shapeId="5285" r:id="rId69" name="CheckBox_E44">
              <controlPr defaultSize="0" autoFill="0" autoLine="0" autoPict="0" macro="[0]!CheckboxClick">
                <anchor moveWithCells="1">
                  <from>
                    <xdr:col>4</xdr:col>
                    <xdr:colOff>1685925</xdr:colOff>
                    <xdr:row>42</xdr:row>
                    <xdr:rowOff>133350</xdr:rowOff>
                  </from>
                  <to>
                    <xdr:col>5</xdr:col>
                    <xdr:colOff>9525</xdr:colOff>
                    <xdr:row>44</xdr:row>
                    <xdr:rowOff>28575</xdr:rowOff>
                  </to>
                </anchor>
              </controlPr>
            </control>
          </mc:Choice>
        </mc:AlternateContent>
        <mc:AlternateContent xmlns:mc="http://schemas.openxmlformats.org/markup-compatibility/2006">
          <mc:Choice Requires="x14">
            <control shapeId="5286" r:id="rId70" name="CheckBox_C47">
              <controlPr defaultSize="0" autoFill="0" autoLine="0" autoPict="0" macro="[0]!CheckboxClick">
                <anchor moveWithCells="1">
                  <from>
                    <xdr:col>2</xdr:col>
                    <xdr:colOff>866775</xdr:colOff>
                    <xdr:row>45</xdr:row>
                    <xdr:rowOff>133350</xdr:rowOff>
                  </from>
                  <to>
                    <xdr:col>3</xdr:col>
                    <xdr:colOff>57150</xdr:colOff>
                    <xdr:row>47</xdr:row>
                    <xdr:rowOff>28575</xdr:rowOff>
                  </to>
                </anchor>
              </controlPr>
            </control>
          </mc:Choice>
        </mc:AlternateContent>
        <mc:AlternateContent xmlns:mc="http://schemas.openxmlformats.org/markup-compatibility/2006">
          <mc:Choice Requires="x14">
            <control shapeId="5287" r:id="rId71" name="CheckBox_G47">
              <controlPr defaultSize="0" autoFill="0" autoLine="0" autoPict="0" macro="[0]!CheckboxClick">
                <anchor moveWithCells="1">
                  <from>
                    <xdr:col>6</xdr:col>
                    <xdr:colOff>1028700</xdr:colOff>
                    <xdr:row>45</xdr:row>
                    <xdr:rowOff>133350</xdr:rowOff>
                  </from>
                  <to>
                    <xdr:col>7</xdr:col>
                    <xdr:colOff>0</xdr:colOff>
                    <xdr:row>47</xdr:row>
                    <xdr:rowOff>28575</xdr:rowOff>
                  </to>
                </anchor>
              </controlPr>
            </control>
          </mc:Choice>
        </mc:AlternateContent>
        <mc:AlternateContent xmlns:mc="http://schemas.openxmlformats.org/markup-compatibility/2006">
          <mc:Choice Requires="x14">
            <control shapeId="5288" r:id="rId72" name="CheckBox_E47">
              <controlPr defaultSize="0" autoFill="0" autoLine="0" autoPict="0" macro="[0]!CheckboxClick">
                <anchor moveWithCells="1">
                  <from>
                    <xdr:col>4</xdr:col>
                    <xdr:colOff>1685925</xdr:colOff>
                    <xdr:row>45</xdr:row>
                    <xdr:rowOff>133350</xdr:rowOff>
                  </from>
                  <to>
                    <xdr:col>5</xdr:col>
                    <xdr:colOff>9525</xdr:colOff>
                    <xdr:row>47</xdr:row>
                    <xdr:rowOff>28575</xdr:rowOff>
                  </to>
                </anchor>
              </controlPr>
            </control>
          </mc:Choice>
        </mc:AlternateContent>
        <mc:AlternateContent xmlns:mc="http://schemas.openxmlformats.org/markup-compatibility/2006">
          <mc:Choice Requires="x14">
            <control shapeId="5289" r:id="rId73" name="CheckBox_C49">
              <controlPr defaultSize="0" autoFill="0" autoLine="0" autoPict="0" macro="[0]!CheckboxClick">
                <anchor moveWithCells="1">
                  <from>
                    <xdr:col>2</xdr:col>
                    <xdr:colOff>866775</xdr:colOff>
                    <xdr:row>47</xdr:row>
                    <xdr:rowOff>142875</xdr:rowOff>
                  </from>
                  <to>
                    <xdr:col>3</xdr:col>
                    <xdr:colOff>57150</xdr:colOff>
                    <xdr:row>49</xdr:row>
                    <xdr:rowOff>38100</xdr:rowOff>
                  </to>
                </anchor>
              </controlPr>
            </control>
          </mc:Choice>
        </mc:AlternateContent>
        <mc:AlternateContent xmlns:mc="http://schemas.openxmlformats.org/markup-compatibility/2006">
          <mc:Choice Requires="x14">
            <control shapeId="5290" r:id="rId74" name="CheckBox_G49">
              <controlPr defaultSize="0" autoFill="0" autoLine="0" autoPict="0" macro="[0]!CheckboxClick">
                <anchor moveWithCells="1">
                  <from>
                    <xdr:col>6</xdr:col>
                    <xdr:colOff>1028700</xdr:colOff>
                    <xdr:row>47</xdr:row>
                    <xdr:rowOff>142875</xdr:rowOff>
                  </from>
                  <to>
                    <xdr:col>7</xdr:col>
                    <xdr:colOff>9525</xdr:colOff>
                    <xdr:row>49</xdr:row>
                    <xdr:rowOff>38100</xdr:rowOff>
                  </to>
                </anchor>
              </controlPr>
            </control>
          </mc:Choice>
        </mc:AlternateContent>
        <mc:AlternateContent xmlns:mc="http://schemas.openxmlformats.org/markup-compatibility/2006">
          <mc:Choice Requires="x14">
            <control shapeId="5291" r:id="rId75" name="CheckBox_E49">
              <controlPr defaultSize="0" autoFill="0" autoLine="0" autoPict="0" macro="[0]!CheckboxClick">
                <anchor moveWithCells="1">
                  <from>
                    <xdr:col>4</xdr:col>
                    <xdr:colOff>1685925</xdr:colOff>
                    <xdr:row>47</xdr:row>
                    <xdr:rowOff>142875</xdr:rowOff>
                  </from>
                  <to>
                    <xdr:col>5</xdr:col>
                    <xdr:colOff>9525</xdr:colOff>
                    <xdr:row>49</xdr:row>
                    <xdr:rowOff>38100</xdr:rowOff>
                  </to>
                </anchor>
              </controlPr>
            </control>
          </mc:Choice>
        </mc:AlternateContent>
        <mc:AlternateContent xmlns:mc="http://schemas.openxmlformats.org/markup-compatibility/2006">
          <mc:Choice Requires="x14">
            <control shapeId="5304" r:id="rId76" name="CheckBox_C50">
              <controlPr defaultSize="0" autoFill="0" autoLine="0" autoPict="0" macro="[0]!CheckboxClick">
                <anchor moveWithCells="1">
                  <from>
                    <xdr:col>2</xdr:col>
                    <xdr:colOff>866775</xdr:colOff>
                    <xdr:row>48</xdr:row>
                    <xdr:rowOff>133350</xdr:rowOff>
                  </from>
                  <to>
                    <xdr:col>3</xdr:col>
                    <xdr:colOff>57150</xdr:colOff>
                    <xdr:row>50</xdr:row>
                    <xdr:rowOff>28575</xdr:rowOff>
                  </to>
                </anchor>
              </controlPr>
            </control>
          </mc:Choice>
        </mc:AlternateContent>
        <mc:AlternateContent xmlns:mc="http://schemas.openxmlformats.org/markup-compatibility/2006">
          <mc:Choice Requires="x14">
            <control shapeId="5305" r:id="rId77" name="CheckBox_G50">
              <controlPr defaultSize="0" autoFill="0" autoLine="0" autoPict="0" macro="[0]!CheckboxClick">
                <anchor moveWithCells="1">
                  <from>
                    <xdr:col>6</xdr:col>
                    <xdr:colOff>1028700</xdr:colOff>
                    <xdr:row>48</xdr:row>
                    <xdr:rowOff>133350</xdr:rowOff>
                  </from>
                  <to>
                    <xdr:col>7</xdr:col>
                    <xdr:colOff>0</xdr:colOff>
                    <xdr:row>50</xdr:row>
                    <xdr:rowOff>28575</xdr:rowOff>
                  </to>
                </anchor>
              </controlPr>
            </control>
          </mc:Choice>
        </mc:AlternateContent>
        <mc:AlternateContent xmlns:mc="http://schemas.openxmlformats.org/markup-compatibility/2006">
          <mc:Choice Requires="x14">
            <control shapeId="5306" r:id="rId78" name="CheckBox_E50">
              <controlPr defaultSize="0" autoFill="0" autoLine="0" autoPict="0" macro="[0]!CheckboxClick">
                <anchor moveWithCells="1">
                  <from>
                    <xdr:col>4</xdr:col>
                    <xdr:colOff>1685925</xdr:colOff>
                    <xdr:row>48</xdr:row>
                    <xdr:rowOff>133350</xdr:rowOff>
                  </from>
                  <to>
                    <xdr:col>5</xdr:col>
                    <xdr:colOff>9525</xdr:colOff>
                    <xdr:row>50</xdr:row>
                    <xdr:rowOff>28575</xdr:rowOff>
                  </to>
                </anchor>
              </controlPr>
            </control>
          </mc:Choice>
        </mc:AlternateContent>
        <mc:AlternateContent xmlns:mc="http://schemas.openxmlformats.org/markup-compatibility/2006">
          <mc:Choice Requires="x14">
            <control shapeId="5307" r:id="rId79" name="CheckBox_C51">
              <controlPr defaultSize="0" autoFill="0" autoLine="0" autoPict="0" macro="[0]!CheckboxClick">
                <anchor moveWithCells="1">
                  <from>
                    <xdr:col>2</xdr:col>
                    <xdr:colOff>866775</xdr:colOff>
                    <xdr:row>49</xdr:row>
                    <xdr:rowOff>133350</xdr:rowOff>
                  </from>
                  <to>
                    <xdr:col>3</xdr:col>
                    <xdr:colOff>57150</xdr:colOff>
                    <xdr:row>51</xdr:row>
                    <xdr:rowOff>28575</xdr:rowOff>
                  </to>
                </anchor>
              </controlPr>
            </control>
          </mc:Choice>
        </mc:AlternateContent>
        <mc:AlternateContent xmlns:mc="http://schemas.openxmlformats.org/markup-compatibility/2006">
          <mc:Choice Requires="x14">
            <control shapeId="5308" r:id="rId80" name="CheckBox_G51">
              <controlPr defaultSize="0" autoFill="0" autoLine="0" autoPict="0" macro="[0]!CheckboxClick">
                <anchor moveWithCells="1">
                  <from>
                    <xdr:col>6</xdr:col>
                    <xdr:colOff>1028700</xdr:colOff>
                    <xdr:row>49</xdr:row>
                    <xdr:rowOff>133350</xdr:rowOff>
                  </from>
                  <to>
                    <xdr:col>7</xdr:col>
                    <xdr:colOff>9525</xdr:colOff>
                    <xdr:row>51</xdr:row>
                    <xdr:rowOff>28575</xdr:rowOff>
                  </to>
                </anchor>
              </controlPr>
            </control>
          </mc:Choice>
        </mc:AlternateContent>
        <mc:AlternateContent xmlns:mc="http://schemas.openxmlformats.org/markup-compatibility/2006">
          <mc:Choice Requires="x14">
            <control shapeId="5309" r:id="rId81" name="CheckBox_E51">
              <controlPr defaultSize="0" autoFill="0" autoLine="0" autoPict="0" macro="[0]!CheckboxClick">
                <anchor moveWithCells="1">
                  <from>
                    <xdr:col>4</xdr:col>
                    <xdr:colOff>1685925</xdr:colOff>
                    <xdr:row>49</xdr:row>
                    <xdr:rowOff>133350</xdr:rowOff>
                  </from>
                  <to>
                    <xdr:col>5</xdr:col>
                    <xdr:colOff>9525</xdr:colOff>
                    <xdr:row>51</xdr:row>
                    <xdr:rowOff>28575</xdr:rowOff>
                  </to>
                </anchor>
              </controlPr>
            </control>
          </mc:Choice>
        </mc:AlternateContent>
        <mc:AlternateContent xmlns:mc="http://schemas.openxmlformats.org/markup-compatibility/2006">
          <mc:Choice Requires="x14">
            <control shapeId="5313" r:id="rId82" name="CheckBox_C55">
              <controlPr defaultSize="0" autoFill="0" autoLine="0" autoPict="0" macro="[0]!CheckboxClick">
                <anchor moveWithCells="1">
                  <from>
                    <xdr:col>2</xdr:col>
                    <xdr:colOff>866775</xdr:colOff>
                    <xdr:row>53</xdr:row>
                    <xdr:rowOff>142875</xdr:rowOff>
                  </from>
                  <to>
                    <xdr:col>3</xdr:col>
                    <xdr:colOff>57150</xdr:colOff>
                    <xdr:row>55</xdr:row>
                    <xdr:rowOff>38100</xdr:rowOff>
                  </to>
                </anchor>
              </controlPr>
            </control>
          </mc:Choice>
        </mc:AlternateContent>
        <mc:AlternateContent xmlns:mc="http://schemas.openxmlformats.org/markup-compatibility/2006">
          <mc:Choice Requires="x14">
            <control shapeId="5314" r:id="rId83" name="CheckBox_G55">
              <controlPr defaultSize="0" autoFill="0" autoLine="0" autoPict="0" macro="[0]!CheckboxClick">
                <anchor moveWithCells="1">
                  <from>
                    <xdr:col>6</xdr:col>
                    <xdr:colOff>1028700</xdr:colOff>
                    <xdr:row>53</xdr:row>
                    <xdr:rowOff>142875</xdr:rowOff>
                  </from>
                  <to>
                    <xdr:col>7</xdr:col>
                    <xdr:colOff>9525</xdr:colOff>
                    <xdr:row>55</xdr:row>
                    <xdr:rowOff>38100</xdr:rowOff>
                  </to>
                </anchor>
              </controlPr>
            </control>
          </mc:Choice>
        </mc:AlternateContent>
        <mc:AlternateContent xmlns:mc="http://schemas.openxmlformats.org/markup-compatibility/2006">
          <mc:Choice Requires="x14">
            <control shapeId="5315" r:id="rId84" name="CheckBox_E55">
              <controlPr defaultSize="0" autoFill="0" autoLine="0" autoPict="0" macro="[0]!CheckboxClick">
                <anchor moveWithCells="1">
                  <from>
                    <xdr:col>4</xdr:col>
                    <xdr:colOff>1685925</xdr:colOff>
                    <xdr:row>53</xdr:row>
                    <xdr:rowOff>142875</xdr:rowOff>
                  </from>
                  <to>
                    <xdr:col>5</xdr:col>
                    <xdr:colOff>9525</xdr:colOff>
                    <xdr:row>55</xdr:row>
                    <xdr:rowOff>38100</xdr:rowOff>
                  </to>
                </anchor>
              </controlPr>
            </control>
          </mc:Choice>
        </mc:AlternateContent>
        <mc:AlternateContent xmlns:mc="http://schemas.openxmlformats.org/markup-compatibility/2006">
          <mc:Choice Requires="x14">
            <control shapeId="5316" r:id="rId85" name="CheckBox_C56">
              <controlPr defaultSize="0" autoFill="0" autoLine="0" autoPict="0" macro="[0]!CheckboxClick">
                <anchor moveWithCells="1">
                  <from>
                    <xdr:col>2</xdr:col>
                    <xdr:colOff>866775</xdr:colOff>
                    <xdr:row>54</xdr:row>
                    <xdr:rowOff>133350</xdr:rowOff>
                  </from>
                  <to>
                    <xdr:col>3</xdr:col>
                    <xdr:colOff>57150</xdr:colOff>
                    <xdr:row>56</xdr:row>
                    <xdr:rowOff>28575</xdr:rowOff>
                  </to>
                </anchor>
              </controlPr>
            </control>
          </mc:Choice>
        </mc:AlternateContent>
        <mc:AlternateContent xmlns:mc="http://schemas.openxmlformats.org/markup-compatibility/2006">
          <mc:Choice Requires="x14">
            <control shapeId="5317" r:id="rId86" name="CheckBox_G56">
              <controlPr defaultSize="0" autoFill="0" autoLine="0" autoPict="0" macro="[0]!CheckboxClick">
                <anchor moveWithCells="1">
                  <from>
                    <xdr:col>6</xdr:col>
                    <xdr:colOff>1028700</xdr:colOff>
                    <xdr:row>54</xdr:row>
                    <xdr:rowOff>133350</xdr:rowOff>
                  </from>
                  <to>
                    <xdr:col>7</xdr:col>
                    <xdr:colOff>0</xdr:colOff>
                    <xdr:row>56</xdr:row>
                    <xdr:rowOff>28575</xdr:rowOff>
                  </to>
                </anchor>
              </controlPr>
            </control>
          </mc:Choice>
        </mc:AlternateContent>
        <mc:AlternateContent xmlns:mc="http://schemas.openxmlformats.org/markup-compatibility/2006">
          <mc:Choice Requires="x14">
            <control shapeId="5318" r:id="rId87" name="CheckBox_E56">
              <controlPr defaultSize="0" autoFill="0" autoLine="0" autoPict="0" macro="[0]!CheckboxClick">
                <anchor moveWithCells="1">
                  <from>
                    <xdr:col>4</xdr:col>
                    <xdr:colOff>1685925</xdr:colOff>
                    <xdr:row>54</xdr:row>
                    <xdr:rowOff>133350</xdr:rowOff>
                  </from>
                  <to>
                    <xdr:col>5</xdr:col>
                    <xdr:colOff>9525</xdr:colOff>
                    <xdr:row>56</xdr:row>
                    <xdr:rowOff>28575</xdr:rowOff>
                  </to>
                </anchor>
              </controlPr>
            </control>
          </mc:Choice>
        </mc:AlternateContent>
        <mc:AlternateContent xmlns:mc="http://schemas.openxmlformats.org/markup-compatibility/2006">
          <mc:Choice Requires="x14">
            <control shapeId="5319" r:id="rId88" name="CheckBox_C57">
              <controlPr defaultSize="0" autoFill="0" autoLine="0" autoPict="0" macro="[0]!CheckboxClick">
                <anchor moveWithCells="1">
                  <from>
                    <xdr:col>2</xdr:col>
                    <xdr:colOff>866775</xdr:colOff>
                    <xdr:row>55</xdr:row>
                    <xdr:rowOff>133350</xdr:rowOff>
                  </from>
                  <to>
                    <xdr:col>3</xdr:col>
                    <xdr:colOff>57150</xdr:colOff>
                    <xdr:row>57</xdr:row>
                    <xdr:rowOff>28575</xdr:rowOff>
                  </to>
                </anchor>
              </controlPr>
            </control>
          </mc:Choice>
        </mc:AlternateContent>
        <mc:AlternateContent xmlns:mc="http://schemas.openxmlformats.org/markup-compatibility/2006">
          <mc:Choice Requires="x14">
            <control shapeId="5320" r:id="rId89" name="CheckBox_G57">
              <controlPr defaultSize="0" autoFill="0" autoLine="0" autoPict="0" macro="[0]!CheckboxClick">
                <anchor moveWithCells="1">
                  <from>
                    <xdr:col>6</xdr:col>
                    <xdr:colOff>1028700</xdr:colOff>
                    <xdr:row>55</xdr:row>
                    <xdr:rowOff>133350</xdr:rowOff>
                  </from>
                  <to>
                    <xdr:col>7</xdr:col>
                    <xdr:colOff>9525</xdr:colOff>
                    <xdr:row>57</xdr:row>
                    <xdr:rowOff>28575</xdr:rowOff>
                  </to>
                </anchor>
              </controlPr>
            </control>
          </mc:Choice>
        </mc:AlternateContent>
        <mc:AlternateContent xmlns:mc="http://schemas.openxmlformats.org/markup-compatibility/2006">
          <mc:Choice Requires="x14">
            <control shapeId="5321" r:id="rId90" name="CheckBox_E57">
              <controlPr defaultSize="0" autoFill="0" autoLine="0" autoPict="0" macro="[0]!CheckboxClick">
                <anchor moveWithCells="1">
                  <from>
                    <xdr:col>4</xdr:col>
                    <xdr:colOff>1685925</xdr:colOff>
                    <xdr:row>55</xdr:row>
                    <xdr:rowOff>133350</xdr:rowOff>
                  </from>
                  <to>
                    <xdr:col>5</xdr:col>
                    <xdr:colOff>9525</xdr:colOff>
                    <xdr:row>57</xdr:row>
                    <xdr:rowOff>28575</xdr:rowOff>
                  </to>
                </anchor>
              </controlPr>
            </control>
          </mc:Choice>
        </mc:AlternateContent>
        <mc:AlternateContent xmlns:mc="http://schemas.openxmlformats.org/markup-compatibility/2006">
          <mc:Choice Requires="x14">
            <control shapeId="5322" r:id="rId91" name="CheckBox_C58">
              <controlPr defaultSize="0" autoFill="0" autoLine="0" autoPict="0" macro="[0]!CheckboxClick">
                <anchor moveWithCells="1">
                  <from>
                    <xdr:col>2</xdr:col>
                    <xdr:colOff>866775</xdr:colOff>
                    <xdr:row>56</xdr:row>
                    <xdr:rowOff>133350</xdr:rowOff>
                  </from>
                  <to>
                    <xdr:col>3</xdr:col>
                    <xdr:colOff>57150</xdr:colOff>
                    <xdr:row>58</xdr:row>
                    <xdr:rowOff>28575</xdr:rowOff>
                  </to>
                </anchor>
              </controlPr>
            </control>
          </mc:Choice>
        </mc:AlternateContent>
        <mc:AlternateContent xmlns:mc="http://schemas.openxmlformats.org/markup-compatibility/2006">
          <mc:Choice Requires="x14">
            <control shapeId="5323" r:id="rId92" name="CheckBox_G58">
              <controlPr defaultSize="0" autoFill="0" autoLine="0" autoPict="0" macro="[0]!CheckboxClick">
                <anchor moveWithCells="1">
                  <from>
                    <xdr:col>6</xdr:col>
                    <xdr:colOff>1028700</xdr:colOff>
                    <xdr:row>56</xdr:row>
                    <xdr:rowOff>133350</xdr:rowOff>
                  </from>
                  <to>
                    <xdr:col>7</xdr:col>
                    <xdr:colOff>9525</xdr:colOff>
                    <xdr:row>58</xdr:row>
                    <xdr:rowOff>28575</xdr:rowOff>
                  </to>
                </anchor>
              </controlPr>
            </control>
          </mc:Choice>
        </mc:AlternateContent>
        <mc:AlternateContent xmlns:mc="http://schemas.openxmlformats.org/markup-compatibility/2006">
          <mc:Choice Requires="x14">
            <control shapeId="5324" r:id="rId93" name="CheckBox_E58">
              <controlPr defaultSize="0" autoFill="0" autoLine="0" autoPict="0" macro="[0]!CheckboxClick">
                <anchor moveWithCells="1">
                  <from>
                    <xdr:col>4</xdr:col>
                    <xdr:colOff>1685925</xdr:colOff>
                    <xdr:row>56</xdr:row>
                    <xdr:rowOff>133350</xdr:rowOff>
                  </from>
                  <to>
                    <xdr:col>5</xdr:col>
                    <xdr:colOff>9525</xdr:colOff>
                    <xdr:row>58</xdr:row>
                    <xdr:rowOff>28575</xdr:rowOff>
                  </to>
                </anchor>
              </controlPr>
            </control>
          </mc:Choice>
        </mc:AlternateContent>
        <mc:AlternateContent xmlns:mc="http://schemas.openxmlformats.org/markup-compatibility/2006">
          <mc:Choice Requires="x14">
            <control shapeId="5325" r:id="rId94" name="CheckBox_C59">
              <controlPr defaultSize="0" autoFill="0" autoLine="0" autoPict="0" macro="[0]!CheckboxClick">
                <anchor moveWithCells="1">
                  <from>
                    <xdr:col>2</xdr:col>
                    <xdr:colOff>866775</xdr:colOff>
                    <xdr:row>57</xdr:row>
                    <xdr:rowOff>133350</xdr:rowOff>
                  </from>
                  <to>
                    <xdr:col>3</xdr:col>
                    <xdr:colOff>57150</xdr:colOff>
                    <xdr:row>59</xdr:row>
                    <xdr:rowOff>28575</xdr:rowOff>
                  </to>
                </anchor>
              </controlPr>
            </control>
          </mc:Choice>
        </mc:AlternateContent>
        <mc:AlternateContent xmlns:mc="http://schemas.openxmlformats.org/markup-compatibility/2006">
          <mc:Choice Requires="x14">
            <control shapeId="5326" r:id="rId95" name="CheckBox_G59">
              <controlPr defaultSize="0" autoFill="0" autoLine="0" autoPict="0" macro="[0]!CheckboxClick">
                <anchor moveWithCells="1">
                  <from>
                    <xdr:col>6</xdr:col>
                    <xdr:colOff>1028700</xdr:colOff>
                    <xdr:row>57</xdr:row>
                    <xdr:rowOff>133350</xdr:rowOff>
                  </from>
                  <to>
                    <xdr:col>7</xdr:col>
                    <xdr:colOff>9525</xdr:colOff>
                    <xdr:row>59</xdr:row>
                    <xdr:rowOff>28575</xdr:rowOff>
                  </to>
                </anchor>
              </controlPr>
            </control>
          </mc:Choice>
        </mc:AlternateContent>
        <mc:AlternateContent xmlns:mc="http://schemas.openxmlformats.org/markup-compatibility/2006">
          <mc:Choice Requires="x14">
            <control shapeId="5327" r:id="rId96" name="CheckBox_E59">
              <controlPr defaultSize="0" autoFill="0" autoLine="0" autoPict="0" macro="[0]!CheckboxClick">
                <anchor moveWithCells="1">
                  <from>
                    <xdr:col>4</xdr:col>
                    <xdr:colOff>1685925</xdr:colOff>
                    <xdr:row>57</xdr:row>
                    <xdr:rowOff>133350</xdr:rowOff>
                  </from>
                  <to>
                    <xdr:col>5</xdr:col>
                    <xdr:colOff>9525</xdr:colOff>
                    <xdr:row>59</xdr:row>
                    <xdr:rowOff>28575</xdr:rowOff>
                  </to>
                </anchor>
              </controlPr>
            </control>
          </mc:Choice>
        </mc:AlternateContent>
        <mc:AlternateContent xmlns:mc="http://schemas.openxmlformats.org/markup-compatibility/2006">
          <mc:Choice Requires="x14">
            <control shapeId="5328" r:id="rId97" name="CheckBox_C60">
              <controlPr defaultSize="0" autoFill="0" autoLine="0" autoPict="0" macro="[0]!CheckboxClick">
                <anchor moveWithCells="1">
                  <from>
                    <xdr:col>2</xdr:col>
                    <xdr:colOff>866775</xdr:colOff>
                    <xdr:row>58</xdr:row>
                    <xdr:rowOff>133350</xdr:rowOff>
                  </from>
                  <to>
                    <xdr:col>3</xdr:col>
                    <xdr:colOff>57150</xdr:colOff>
                    <xdr:row>60</xdr:row>
                    <xdr:rowOff>28575</xdr:rowOff>
                  </to>
                </anchor>
              </controlPr>
            </control>
          </mc:Choice>
        </mc:AlternateContent>
        <mc:AlternateContent xmlns:mc="http://schemas.openxmlformats.org/markup-compatibility/2006">
          <mc:Choice Requires="x14">
            <control shapeId="5329" r:id="rId98" name="CheckBox_G60">
              <controlPr defaultSize="0" autoFill="0" autoLine="0" autoPict="0" macro="[0]!CheckboxClick">
                <anchor moveWithCells="1">
                  <from>
                    <xdr:col>6</xdr:col>
                    <xdr:colOff>1028700</xdr:colOff>
                    <xdr:row>58</xdr:row>
                    <xdr:rowOff>133350</xdr:rowOff>
                  </from>
                  <to>
                    <xdr:col>7</xdr:col>
                    <xdr:colOff>9525</xdr:colOff>
                    <xdr:row>60</xdr:row>
                    <xdr:rowOff>28575</xdr:rowOff>
                  </to>
                </anchor>
              </controlPr>
            </control>
          </mc:Choice>
        </mc:AlternateContent>
        <mc:AlternateContent xmlns:mc="http://schemas.openxmlformats.org/markup-compatibility/2006">
          <mc:Choice Requires="x14">
            <control shapeId="5330" r:id="rId99" name="CheckBox_E60">
              <controlPr defaultSize="0" autoFill="0" autoLine="0" autoPict="0" macro="[0]!CheckboxClick">
                <anchor moveWithCells="1">
                  <from>
                    <xdr:col>4</xdr:col>
                    <xdr:colOff>1685925</xdr:colOff>
                    <xdr:row>58</xdr:row>
                    <xdr:rowOff>133350</xdr:rowOff>
                  </from>
                  <to>
                    <xdr:col>5</xdr:col>
                    <xdr:colOff>9525</xdr:colOff>
                    <xdr:row>60</xdr:row>
                    <xdr:rowOff>28575</xdr:rowOff>
                  </to>
                </anchor>
              </controlPr>
            </control>
          </mc:Choice>
        </mc:AlternateContent>
        <mc:AlternateContent xmlns:mc="http://schemas.openxmlformats.org/markup-compatibility/2006">
          <mc:Choice Requires="x14">
            <control shapeId="5331" r:id="rId100" name="CheckBox_C61">
              <controlPr defaultSize="0" autoFill="0" autoLine="0" autoPict="0" macro="[0]!CheckboxClick">
                <anchor moveWithCells="1">
                  <from>
                    <xdr:col>2</xdr:col>
                    <xdr:colOff>866775</xdr:colOff>
                    <xdr:row>59</xdr:row>
                    <xdr:rowOff>133350</xdr:rowOff>
                  </from>
                  <to>
                    <xdr:col>3</xdr:col>
                    <xdr:colOff>57150</xdr:colOff>
                    <xdr:row>61</xdr:row>
                    <xdr:rowOff>28575</xdr:rowOff>
                  </to>
                </anchor>
              </controlPr>
            </control>
          </mc:Choice>
        </mc:AlternateContent>
        <mc:AlternateContent xmlns:mc="http://schemas.openxmlformats.org/markup-compatibility/2006">
          <mc:Choice Requires="x14">
            <control shapeId="5332" r:id="rId101" name="CheckBox_G61">
              <controlPr defaultSize="0" autoFill="0" autoLine="0" autoPict="0" macro="[0]!CheckboxClick">
                <anchor moveWithCells="1">
                  <from>
                    <xdr:col>6</xdr:col>
                    <xdr:colOff>1028700</xdr:colOff>
                    <xdr:row>59</xdr:row>
                    <xdr:rowOff>133350</xdr:rowOff>
                  </from>
                  <to>
                    <xdr:col>7</xdr:col>
                    <xdr:colOff>9525</xdr:colOff>
                    <xdr:row>61</xdr:row>
                    <xdr:rowOff>28575</xdr:rowOff>
                  </to>
                </anchor>
              </controlPr>
            </control>
          </mc:Choice>
        </mc:AlternateContent>
        <mc:AlternateContent xmlns:mc="http://schemas.openxmlformats.org/markup-compatibility/2006">
          <mc:Choice Requires="x14">
            <control shapeId="5333" r:id="rId102" name="CheckBox_E61">
              <controlPr defaultSize="0" autoFill="0" autoLine="0" autoPict="0" macro="[0]!CheckboxClick">
                <anchor moveWithCells="1">
                  <from>
                    <xdr:col>4</xdr:col>
                    <xdr:colOff>1685925</xdr:colOff>
                    <xdr:row>59</xdr:row>
                    <xdr:rowOff>133350</xdr:rowOff>
                  </from>
                  <to>
                    <xdr:col>5</xdr:col>
                    <xdr:colOff>9525</xdr:colOff>
                    <xdr:row>61</xdr:row>
                    <xdr:rowOff>28575</xdr:rowOff>
                  </to>
                </anchor>
              </controlPr>
            </control>
          </mc:Choice>
        </mc:AlternateContent>
        <mc:AlternateContent xmlns:mc="http://schemas.openxmlformats.org/markup-compatibility/2006">
          <mc:Choice Requires="x14">
            <control shapeId="5334" r:id="rId103" name="CheckBox_C62">
              <controlPr defaultSize="0" autoFill="0" autoLine="0" autoPict="0" macro="[0]!CheckboxClick">
                <anchor moveWithCells="1">
                  <from>
                    <xdr:col>2</xdr:col>
                    <xdr:colOff>866775</xdr:colOff>
                    <xdr:row>60</xdr:row>
                    <xdr:rowOff>133350</xdr:rowOff>
                  </from>
                  <to>
                    <xdr:col>3</xdr:col>
                    <xdr:colOff>57150</xdr:colOff>
                    <xdr:row>62</xdr:row>
                    <xdr:rowOff>28575</xdr:rowOff>
                  </to>
                </anchor>
              </controlPr>
            </control>
          </mc:Choice>
        </mc:AlternateContent>
        <mc:AlternateContent xmlns:mc="http://schemas.openxmlformats.org/markup-compatibility/2006">
          <mc:Choice Requires="x14">
            <control shapeId="5335" r:id="rId104" name="CheckBox_G62">
              <controlPr defaultSize="0" autoFill="0" autoLine="0" autoPict="0" macro="[0]!CheckboxClick">
                <anchor moveWithCells="1">
                  <from>
                    <xdr:col>6</xdr:col>
                    <xdr:colOff>1028700</xdr:colOff>
                    <xdr:row>60</xdr:row>
                    <xdr:rowOff>133350</xdr:rowOff>
                  </from>
                  <to>
                    <xdr:col>7</xdr:col>
                    <xdr:colOff>9525</xdr:colOff>
                    <xdr:row>62</xdr:row>
                    <xdr:rowOff>28575</xdr:rowOff>
                  </to>
                </anchor>
              </controlPr>
            </control>
          </mc:Choice>
        </mc:AlternateContent>
        <mc:AlternateContent xmlns:mc="http://schemas.openxmlformats.org/markup-compatibility/2006">
          <mc:Choice Requires="x14">
            <control shapeId="5336" r:id="rId105" name="CheckBox_E62">
              <controlPr defaultSize="0" autoFill="0" autoLine="0" autoPict="0" macro="[0]!CheckboxClick">
                <anchor moveWithCells="1">
                  <from>
                    <xdr:col>4</xdr:col>
                    <xdr:colOff>1685925</xdr:colOff>
                    <xdr:row>60</xdr:row>
                    <xdr:rowOff>133350</xdr:rowOff>
                  </from>
                  <to>
                    <xdr:col>5</xdr:col>
                    <xdr:colOff>9525</xdr:colOff>
                    <xdr:row>62</xdr:row>
                    <xdr:rowOff>28575</xdr:rowOff>
                  </to>
                </anchor>
              </controlPr>
            </control>
          </mc:Choice>
        </mc:AlternateContent>
        <mc:AlternateContent xmlns:mc="http://schemas.openxmlformats.org/markup-compatibility/2006">
          <mc:Choice Requires="x14">
            <control shapeId="5337" r:id="rId106" name="CheckBox_C63">
              <controlPr defaultSize="0" autoFill="0" autoLine="0" autoPict="0" macro="[0]!CheckboxClick">
                <anchor moveWithCells="1">
                  <from>
                    <xdr:col>2</xdr:col>
                    <xdr:colOff>866775</xdr:colOff>
                    <xdr:row>61</xdr:row>
                    <xdr:rowOff>133350</xdr:rowOff>
                  </from>
                  <to>
                    <xdr:col>3</xdr:col>
                    <xdr:colOff>57150</xdr:colOff>
                    <xdr:row>63</xdr:row>
                    <xdr:rowOff>28575</xdr:rowOff>
                  </to>
                </anchor>
              </controlPr>
            </control>
          </mc:Choice>
        </mc:AlternateContent>
        <mc:AlternateContent xmlns:mc="http://schemas.openxmlformats.org/markup-compatibility/2006">
          <mc:Choice Requires="x14">
            <control shapeId="5338" r:id="rId107" name="CheckBox_G63">
              <controlPr defaultSize="0" autoFill="0" autoLine="0" autoPict="0" macro="[0]!CheckboxClick">
                <anchor moveWithCells="1">
                  <from>
                    <xdr:col>6</xdr:col>
                    <xdr:colOff>1028700</xdr:colOff>
                    <xdr:row>61</xdr:row>
                    <xdr:rowOff>133350</xdr:rowOff>
                  </from>
                  <to>
                    <xdr:col>7</xdr:col>
                    <xdr:colOff>9525</xdr:colOff>
                    <xdr:row>63</xdr:row>
                    <xdr:rowOff>28575</xdr:rowOff>
                  </to>
                </anchor>
              </controlPr>
            </control>
          </mc:Choice>
        </mc:AlternateContent>
        <mc:AlternateContent xmlns:mc="http://schemas.openxmlformats.org/markup-compatibility/2006">
          <mc:Choice Requires="x14">
            <control shapeId="5339" r:id="rId108" name="CheckBox_E63">
              <controlPr defaultSize="0" autoFill="0" autoLine="0" autoPict="0" macro="[0]!CheckboxClick">
                <anchor moveWithCells="1">
                  <from>
                    <xdr:col>4</xdr:col>
                    <xdr:colOff>1685925</xdr:colOff>
                    <xdr:row>61</xdr:row>
                    <xdr:rowOff>133350</xdr:rowOff>
                  </from>
                  <to>
                    <xdr:col>5</xdr:col>
                    <xdr:colOff>9525</xdr:colOff>
                    <xdr:row>63</xdr:row>
                    <xdr:rowOff>28575</xdr:rowOff>
                  </to>
                </anchor>
              </controlPr>
            </control>
          </mc:Choice>
        </mc:AlternateContent>
        <mc:AlternateContent xmlns:mc="http://schemas.openxmlformats.org/markup-compatibility/2006">
          <mc:Choice Requires="x14">
            <control shapeId="5340" r:id="rId109" name="CheckBox_C64">
              <controlPr defaultSize="0" autoFill="0" autoLine="0" autoPict="0" macro="[0]!CheckboxClick">
                <anchor moveWithCells="1">
                  <from>
                    <xdr:col>2</xdr:col>
                    <xdr:colOff>866775</xdr:colOff>
                    <xdr:row>62</xdr:row>
                    <xdr:rowOff>133350</xdr:rowOff>
                  </from>
                  <to>
                    <xdr:col>3</xdr:col>
                    <xdr:colOff>57150</xdr:colOff>
                    <xdr:row>64</xdr:row>
                    <xdr:rowOff>28575</xdr:rowOff>
                  </to>
                </anchor>
              </controlPr>
            </control>
          </mc:Choice>
        </mc:AlternateContent>
        <mc:AlternateContent xmlns:mc="http://schemas.openxmlformats.org/markup-compatibility/2006">
          <mc:Choice Requires="x14">
            <control shapeId="5341" r:id="rId110" name="CheckBox_G64">
              <controlPr defaultSize="0" autoFill="0" autoLine="0" autoPict="0" macro="[0]!CheckboxClick">
                <anchor moveWithCells="1">
                  <from>
                    <xdr:col>6</xdr:col>
                    <xdr:colOff>1028700</xdr:colOff>
                    <xdr:row>62</xdr:row>
                    <xdr:rowOff>133350</xdr:rowOff>
                  </from>
                  <to>
                    <xdr:col>7</xdr:col>
                    <xdr:colOff>9525</xdr:colOff>
                    <xdr:row>64</xdr:row>
                    <xdr:rowOff>28575</xdr:rowOff>
                  </to>
                </anchor>
              </controlPr>
            </control>
          </mc:Choice>
        </mc:AlternateContent>
        <mc:AlternateContent xmlns:mc="http://schemas.openxmlformats.org/markup-compatibility/2006">
          <mc:Choice Requires="x14">
            <control shapeId="5342" r:id="rId111" name="CheckBox_E64">
              <controlPr defaultSize="0" autoFill="0" autoLine="0" autoPict="0" macro="[0]!CheckboxClick">
                <anchor moveWithCells="1">
                  <from>
                    <xdr:col>4</xdr:col>
                    <xdr:colOff>1685925</xdr:colOff>
                    <xdr:row>62</xdr:row>
                    <xdr:rowOff>133350</xdr:rowOff>
                  </from>
                  <to>
                    <xdr:col>5</xdr:col>
                    <xdr:colOff>9525</xdr:colOff>
                    <xdr:row>64</xdr:row>
                    <xdr:rowOff>28575</xdr:rowOff>
                  </to>
                </anchor>
              </controlPr>
            </control>
          </mc:Choice>
        </mc:AlternateContent>
        <mc:AlternateContent xmlns:mc="http://schemas.openxmlformats.org/markup-compatibility/2006">
          <mc:Choice Requires="x14">
            <control shapeId="5343" r:id="rId112" name="CheckBox_C65">
              <controlPr defaultSize="0" autoFill="0" autoLine="0" autoPict="0" macro="[0]!CheckboxClick">
                <anchor moveWithCells="1">
                  <from>
                    <xdr:col>2</xdr:col>
                    <xdr:colOff>866775</xdr:colOff>
                    <xdr:row>63</xdr:row>
                    <xdr:rowOff>133350</xdr:rowOff>
                  </from>
                  <to>
                    <xdr:col>3</xdr:col>
                    <xdr:colOff>57150</xdr:colOff>
                    <xdr:row>65</xdr:row>
                    <xdr:rowOff>28575</xdr:rowOff>
                  </to>
                </anchor>
              </controlPr>
            </control>
          </mc:Choice>
        </mc:AlternateContent>
        <mc:AlternateContent xmlns:mc="http://schemas.openxmlformats.org/markup-compatibility/2006">
          <mc:Choice Requires="x14">
            <control shapeId="5344" r:id="rId113" name="CheckBox_G65">
              <controlPr defaultSize="0" autoFill="0" autoLine="0" autoPict="0" macro="[0]!CheckboxClick">
                <anchor moveWithCells="1">
                  <from>
                    <xdr:col>6</xdr:col>
                    <xdr:colOff>1028700</xdr:colOff>
                    <xdr:row>63</xdr:row>
                    <xdr:rowOff>133350</xdr:rowOff>
                  </from>
                  <to>
                    <xdr:col>7</xdr:col>
                    <xdr:colOff>9525</xdr:colOff>
                    <xdr:row>65</xdr:row>
                    <xdr:rowOff>28575</xdr:rowOff>
                  </to>
                </anchor>
              </controlPr>
            </control>
          </mc:Choice>
        </mc:AlternateContent>
        <mc:AlternateContent xmlns:mc="http://schemas.openxmlformats.org/markup-compatibility/2006">
          <mc:Choice Requires="x14">
            <control shapeId="5345" r:id="rId114" name="CheckBox_E65">
              <controlPr defaultSize="0" autoFill="0" autoLine="0" autoPict="0" macro="[0]!CheckboxClick">
                <anchor moveWithCells="1">
                  <from>
                    <xdr:col>4</xdr:col>
                    <xdr:colOff>1685925</xdr:colOff>
                    <xdr:row>63</xdr:row>
                    <xdr:rowOff>133350</xdr:rowOff>
                  </from>
                  <to>
                    <xdr:col>5</xdr:col>
                    <xdr:colOff>9525</xdr:colOff>
                    <xdr:row>65</xdr:row>
                    <xdr:rowOff>28575</xdr:rowOff>
                  </to>
                </anchor>
              </controlPr>
            </control>
          </mc:Choice>
        </mc:AlternateContent>
        <mc:AlternateContent xmlns:mc="http://schemas.openxmlformats.org/markup-compatibility/2006">
          <mc:Choice Requires="x14">
            <control shapeId="5346" r:id="rId115" name="CheckBox_C66">
              <controlPr defaultSize="0" autoFill="0" autoLine="0" autoPict="0" macro="[0]!CheckboxClick">
                <anchor moveWithCells="1">
                  <from>
                    <xdr:col>2</xdr:col>
                    <xdr:colOff>866775</xdr:colOff>
                    <xdr:row>64</xdr:row>
                    <xdr:rowOff>133350</xdr:rowOff>
                  </from>
                  <to>
                    <xdr:col>3</xdr:col>
                    <xdr:colOff>57150</xdr:colOff>
                    <xdr:row>66</xdr:row>
                    <xdr:rowOff>28575</xdr:rowOff>
                  </to>
                </anchor>
              </controlPr>
            </control>
          </mc:Choice>
        </mc:AlternateContent>
        <mc:AlternateContent xmlns:mc="http://schemas.openxmlformats.org/markup-compatibility/2006">
          <mc:Choice Requires="x14">
            <control shapeId="5347" r:id="rId116" name="CheckBox_G66">
              <controlPr defaultSize="0" autoFill="0" autoLine="0" autoPict="0" macro="[0]!CheckboxClick">
                <anchor moveWithCells="1">
                  <from>
                    <xdr:col>6</xdr:col>
                    <xdr:colOff>1028700</xdr:colOff>
                    <xdr:row>64</xdr:row>
                    <xdr:rowOff>133350</xdr:rowOff>
                  </from>
                  <to>
                    <xdr:col>7</xdr:col>
                    <xdr:colOff>9525</xdr:colOff>
                    <xdr:row>66</xdr:row>
                    <xdr:rowOff>28575</xdr:rowOff>
                  </to>
                </anchor>
              </controlPr>
            </control>
          </mc:Choice>
        </mc:AlternateContent>
        <mc:AlternateContent xmlns:mc="http://schemas.openxmlformats.org/markup-compatibility/2006">
          <mc:Choice Requires="x14">
            <control shapeId="5348" r:id="rId117" name="CheckBox_E66">
              <controlPr defaultSize="0" autoFill="0" autoLine="0" autoPict="0" macro="[0]!CheckboxClick">
                <anchor moveWithCells="1">
                  <from>
                    <xdr:col>4</xdr:col>
                    <xdr:colOff>1685925</xdr:colOff>
                    <xdr:row>64</xdr:row>
                    <xdr:rowOff>133350</xdr:rowOff>
                  </from>
                  <to>
                    <xdr:col>5</xdr:col>
                    <xdr:colOff>9525</xdr:colOff>
                    <xdr:row>66</xdr:row>
                    <xdr:rowOff>28575</xdr:rowOff>
                  </to>
                </anchor>
              </controlPr>
            </control>
          </mc:Choice>
        </mc:AlternateContent>
        <mc:AlternateContent xmlns:mc="http://schemas.openxmlformats.org/markup-compatibility/2006">
          <mc:Choice Requires="x14">
            <control shapeId="5349" r:id="rId118" name="CheckBox_C67">
              <controlPr defaultSize="0" autoFill="0" autoLine="0" autoPict="0" macro="[0]!CheckboxClick">
                <anchor moveWithCells="1">
                  <from>
                    <xdr:col>2</xdr:col>
                    <xdr:colOff>866775</xdr:colOff>
                    <xdr:row>65</xdr:row>
                    <xdr:rowOff>133350</xdr:rowOff>
                  </from>
                  <to>
                    <xdr:col>3</xdr:col>
                    <xdr:colOff>57150</xdr:colOff>
                    <xdr:row>67</xdr:row>
                    <xdr:rowOff>28575</xdr:rowOff>
                  </to>
                </anchor>
              </controlPr>
            </control>
          </mc:Choice>
        </mc:AlternateContent>
        <mc:AlternateContent xmlns:mc="http://schemas.openxmlformats.org/markup-compatibility/2006">
          <mc:Choice Requires="x14">
            <control shapeId="5350" r:id="rId119" name="CheckBox_G67">
              <controlPr defaultSize="0" autoFill="0" autoLine="0" autoPict="0" macro="[0]!CheckboxClick">
                <anchor moveWithCells="1">
                  <from>
                    <xdr:col>6</xdr:col>
                    <xdr:colOff>1028700</xdr:colOff>
                    <xdr:row>65</xdr:row>
                    <xdr:rowOff>133350</xdr:rowOff>
                  </from>
                  <to>
                    <xdr:col>7</xdr:col>
                    <xdr:colOff>9525</xdr:colOff>
                    <xdr:row>67</xdr:row>
                    <xdr:rowOff>28575</xdr:rowOff>
                  </to>
                </anchor>
              </controlPr>
            </control>
          </mc:Choice>
        </mc:AlternateContent>
        <mc:AlternateContent xmlns:mc="http://schemas.openxmlformats.org/markup-compatibility/2006">
          <mc:Choice Requires="x14">
            <control shapeId="5351" r:id="rId120" name="CheckBox_E67">
              <controlPr defaultSize="0" autoFill="0" autoLine="0" autoPict="0" macro="[0]!CheckboxClick">
                <anchor moveWithCells="1">
                  <from>
                    <xdr:col>4</xdr:col>
                    <xdr:colOff>1685925</xdr:colOff>
                    <xdr:row>65</xdr:row>
                    <xdr:rowOff>133350</xdr:rowOff>
                  </from>
                  <to>
                    <xdr:col>5</xdr:col>
                    <xdr:colOff>9525</xdr:colOff>
                    <xdr:row>67</xdr:row>
                    <xdr:rowOff>28575</xdr:rowOff>
                  </to>
                </anchor>
              </controlPr>
            </control>
          </mc:Choice>
        </mc:AlternateContent>
        <mc:AlternateContent xmlns:mc="http://schemas.openxmlformats.org/markup-compatibility/2006">
          <mc:Choice Requires="x14">
            <control shapeId="5352" r:id="rId121" name="CheckBox_C54">
              <controlPr defaultSize="0" autoFill="0" autoLine="0" autoPict="0" macro="[0]!CheckboxClick">
                <anchor moveWithCells="1">
                  <from>
                    <xdr:col>2</xdr:col>
                    <xdr:colOff>866775</xdr:colOff>
                    <xdr:row>52</xdr:row>
                    <xdr:rowOff>142875</xdr:rowOff>
                  </from>
                  <to>
                    <xdr:col>3</xdr:col>
                    <xdr:colOff>57150</xdr:colOff>
                    <xdr:row>54</xdr:row>
                    <xdr:rowOff>38100</xdr:rowOff>
                  </to>
                </anchor>
              </controlPr>
            </control>
          </mc:Choice>
        </mc:AlternateContent>
        <mc:AlternateContent xmlns:mc="http://schemas.openxmlformats.org/markup-compatibility/2006">
          <mc:Choice Requires="x14">
            <control shapeId="5353" r:id="rId122" name="CheckBox_G54">
              <controlPr defaultSize="0" autoFill="0" autoLine="0" autoPict="0" macro="[0]!CheckboxClick">
                <anchor moveWithCells="1">
                  <from>
                    <xdr:col>6</xdr:col>
                    <xdr:colOff>1028700</xdr:colOff>
                    <xdr:row>52</xdr:row>
                    <xdr:rowOff>142875</xdr:rowOff>
                  </from>
                  <to>
                    <xdr:col>7</xdr:col>
                    <xdr:colOff>0</xdr:colOff>
                    <xdr:row>54</xdr:row>
                    <xdr:rowOff>38100</xdr:rowOff>
                  </to>
                </anchor>
              </controlPr>
            </control>
          </mc:Choice>
        </mc:AlternateContent>
        <mc:AlternateContent xmlns:mc="http://schemas.openxmlformats.org/markup-compatibility/2006">
          <mc:Choice Requires="x14">
            <control shapeId="5354" r:id="rId123" name="CheckBox_E54">
              <controlPr defaultSize="0" autoFill="0" autoLine="0" autoPict="0" macro="[0]!CheckboxClick">
                <anchor moveWithCells="1">
                  <from>
                    <xdr:col>4</xdr:col>
                    <xdr:colOff>1685925</xdr:colOff>
                    <xdr:row>52</xdr:row>
                    <xdr:rowOff>142875</xdr:rowOff>
                  </from>
                  <to>
                    <xdr:col>5</xdr:col>
                    <xdr:colOff>9525</xdr:colOff>
                    <xdr:row>54</xdr:row>
                    <xdr:rowOff>38100</xdr:rowOff>
                  </to>
                </anchor>
              </controlPr>
            </control>
          </mc:Choice>
        </mc:AlternateContent>
        <mc:AlternateContent xmlns:mc="http://schemas.openxmlformats.org/markup-compatibility/2006">
          <mc:Choice Requires="x14">
            <control shapeId="5355" r:id="rId124" name="CheckBox_C48">
              <controlPr defaultSize="0" autoFill="0" autoLine="0" autoPict="0" macro="[0]!CheckboxClick">
                <anchor moveWithCells="1">
                  <from>
                    <xdr:col>2</xdr:col>
                    <xdr:colOff>866775</xdr:colOff>
                    <xdr:row>46</xdr:row>
                    <xdr:rowOff>133350</xdr:rowOff>
                  </from>
                  <to>
                    <xdr:col>3</xdr:col>
                    <xdr:colOff>57150</xdr:colOff>
                    <xdr:row>48</xdr:row>
                    <xdr:rowOff>28575</xdr:rowOff>
                  </to>
                </anchor>
              </controlPr>
            </control>
          </mc:Choice>
        </mc:AlternateContent>
        <mc:AlternateContent xmlns:mc="http://schemas.openxmlformats.org/markup-compatibility/2006">
          <mc:Choice Requires="x14">
            <control shapeId="5356" r:id="rId125" name="CheckBox_G48">
              <controlPr defaultSize="0" autoFill="0" autoLine="0" autoPict="0" macro="[0]!CheckboxClick">
                <anchor moveWithCells="1">
                  <from>
                    <xdr:col>6</xdr:col>
                    <xdr:colOff>1028700</xdr:colOff>
                    <xdr:row>46</xdr:row>
                    <xdr:rowOff>133350</xdr:rowOff>
                  </from>
                  <to>
                    <xdr:col>7</xdr:col>
                    <xdr:colOff>0</xdr:colOff>
                    <xdr:row>48</xdr:row>
                    <xdr:rowOff>28575</xdr:rowOff>
                  </to>
                </anchor>
              </controlPr>
            </control>
          </mc:Choice>
        </mc:AlternateContent>
        <mc:AlternateContent xmlns:mc="http://schemas.openxmlformats.org/markup-compatibility/2006">
          <mc:Choice Requires="x14">
            <control shapeId="5357" r:id="rId126" name="CheckBox_E48">
              <controlPr defaultSize="0" autoFill="0" autoLine="0" autoPict="0" macro="[0]!CheckboxClick">
                <anchor moveWithCells="1">
                  <from>
                    <xdr:col>4</xdr:col>
                    <xdr:colOff>1685925</xdr:colOff>
                    <xdr:row>46</xdr:row>
                    <xdr:rowOff>133350</xdr:rowOff>
                  </from>
                  <to>
                    <xdr:col>5</xdr:col>
                    <xdr:colOff>9525</xdr:colOff>
                    <xdr:row>48</xdr:row>
                    <xdr:rowOff>28575</xdr:rowOff>
                  </to>
                </anchor>
              </controlPr>
            </control>
          </mc:Choice>
        </mc:AlternateContent>
        <mc:AlternateContent xmlns:mc="http://schemas.openxmlformats.org/markup-compatibility/2006">
          <mc:Choice Requires="x14">
            <control shapeId="5358" r:id="rId127" name="CheckBox_C52">
              <controlPr defaultSize="0" autoFill="0" autoLine="0" autoPict="0" macro="[0]!CheckboxClick">
                <anchor moveWithCells="1">
                  <from>
                    <xdr:col>2</xdr:col>
                    <xdr:colOff>866775</xdr:colOff>
                    <xdr:row>50</xdr:row>
                    <xdr:rowOff>133350</xdr:rowOff>
                  </from>
                  <to>
                    <xdr:col>3</xdr:col>
                    <xdr:colOff>57150</xdr:colOff>
                    <xdr:row>52</xdr:row>
                    <xdr:rowOff>28575</xdr:rowOff>
                  </to>
                </anchor>
              </controlPr>
            </control>
          </mc:Choice>
        </mc:AlternateContent>
        <mc:AlternateContent xmlns:mc="http://schemas.openxmlformats.org/markup-compatibility/2006">
          <mc:Choice Requires="x14">
            <control shapeId="5359" r:id="rId128" name="CheckBox_G52">
              <controlPr defaultSize="0" autoFill="0" autoLine="0" autoPict="0" macro="[0]!CheckboxClick">
                <anchor moveWithCells="1">
                  <from>
                    <xdr:col>6</xdr:col>
                    <xdr:colOff>1028700</xdr:colOff>
                    <xdr:row>50</xdr:row>
                    <xdr:rowOff>133350</xdr:rowOff>
                  </from>
                  <to>
                    <xdr:col>7</xdr:col>
                    <xdr:colOff>9525</xdr:colOff>
                    <xdr:row>52</xdr:row>
                    <xdr:rowOff>28575</xdr:rowOff>
                  </to>
                </anchor>
              </controlPr>
            </control>
          </mc:Choice>
        </mc:AlternateContent>
        <mc:AlternateContent xmlns:mc="http://schemas.openxmlformats.org/markup-compatibility/2006">
          <mc:Choice Requires="x14">
            <control shapeId="5360" r:id="rId129" name="CheckBox_E52">
              <controlPr defaultSize="0" autoFill="0" autoLine="0" autoPict="0" macro="[0]!CheckboxClick">
                <anchor moveWithCells="1">
                  <from>
                    <xdr:col>4</xdr:col>
                    <xdr:colOff>1685925</xdr:colOff>
                    <xdr:row>50</xdr:row>
                    <xdr:rowOff>133350</xdr:rowOff>
                  </from>
                  <to>
                    <xdr:col>5</xdr:col>
                    <xdr:colOff>9525</xdr:colOff>
                    <xdr:row>52</xdr:row>
                    <xdr:rowOff>28575</xdr:rowOff>
                  </to>
                </anchor>
              </controlPr>
            </control>
          </mc:Choice>
        </mc:AlternateContent>
        <mc:AlternateContent xmlns:mc="http://schemas.openxmlformats.org/markup-compatibility/2006">
          <mc:Choice Requires="x14">
            <control shapeId="5361" r:id="rId130" name="CheckBox_C53">
              <controlPr defaultSize="0" autoFill="0" autoLine="0" autoPict="0" macro="[0]!CheckboxClick">
                <anchor moveWithCells="1">
                  <from>
                    <xdr:col>2</xdr:col>
                    <xdr:colOff>866775</xdr:colOff>
                    <xdr:row>51</xdr:row>
                    <xdr:rowOff>133350</xdr:rowOff>
                  </from>
                  <to>
                    <xdr:col>3</xdr:col>
                    <xdr:colOff>57150</xdr:colOff>
                    <xdr:row>53</xdr:row>
                    <xdr:rowOff>28575</xdr:rowOff>
                  </to>
                </anchor>
              </controlPr>
            </control>
          </mc:Choice>
        </mc:AlternateContent>
        <mc:AlternateContent xmlns:mc="http://schemas.openxmlformats.org/markup-compatibility/2006">
          <mc:Choice Requires="x14">
            <control shapeId="5362" r:id="rId131" name="CheckBox_G53">
              <controlPr defaultSize="0" autoFill="0" autoLine="0" autoPict="0" macro="[0]!CheckboxClick">
                <anchor moveWithCells="1">
                  <from>
                    <xdr:col>6</xdr:col>
                    <xdr:colOff>1028700</xdr:colOff>
                    <xdr:row>51</xdr:row>
                    <xdr:rowOff>133350</xdr:rowOff>
                  </from>
                  <to>
                    <xdr:col>7</xdr:col>
                    <xdr:colOff>9525</xdr:colOff>
                    <xdr:row>53</xdr:row>
                    <xdr:rowOff>28575</xdr:rowOff>
                  </to>
                </anchor>
              </controlPr>
            </control>
          </mc:Choice>
        </mc:AlternateContent>
        <mc:AlternateContent xmlns:mc="http://schemas.openxmlformats.org/markup-compatibility/2006">
          <mc:Choice Requires="x14">
            <control shapeId="5363" r:id="rId132" name="CheckBox_E53">
              <controlPr defaultSize="0" autoFill="0" autoLine="0" autoPict="0" macro="[0]!CheckboxClick">
                <anchor moveWithCells="1">
                  <from>
                    <xdr:col>4</xdr:col>
                    <xdr:colOff>1685925</xdr:colOff>
                    <xdr:row>51</xdr:row>
                    <xdr:rowOff>133350</xdr:rowOff>
                  </from>
                  <to>
                    <xdr:col>5</xdr:col>
                    <xdr:colOff>9525</xdr:colOff>
                    <xdr:row>53</xdr:row>
                    <xdr:rowOff>28575</xdr:rowOff>
                  </to>
                </anchor>
              </controlPr>
            </control>
          </mc:Choice>
        </mc:AlternateContent>
        <mc:AlternateContent xmlns:mc="http://schemas.openxmlformats.org/markup-compatibility/2006">
          <mc:Choice Requires="x14">
            <control shapeId="5364" r:id="rId133" name="CheckBox_C70">
              <controlPr defaultSize="0" autoFill="0" autoLine="0" autoPict="0" macro="[0]!CheckboxClick">
                <anchor moveWithCells="1">
                  <from>
                    <xdr:col>2</xdr:col>
                    <xdr:colOff>866775</xdr:colOff>
                    <xdr:row>68</xdr:row>
                    <xdr:rowOff>133350</xdr:rowOff>
                  </from>
                  <to>
                    <xdr:col>3</xdr:col>
                    <xdr:colOff>57150</xdr:colOff>
                    <xdr:row>70</xdr:row>
                    <xdr:rowOff>28575</xdr:rowOff>
                  </to>
                </anchor>
              </controlPr>
            </control>
          </mc:Choice>
        </mc:AlternateContent>
        <mc:AlternateContent xmlns:mc="http://schemas.openxmlformats.org/markup-compatibility/2006">
          <mc:Choice Requires="x14">
            <control shapeId="5365" r:id="rId134" name="CheckBox_G70">
              <controlPr defaultSize="0" autoFill="0" autoLine="0" autoPict="0" macro="[0]!CheckboxClick">
                <anchor moveWithCells="1">
                  <from>
                    <xdr:col>6</xdr:col>
                    <xdr:colOff>1028700</xdr:colOff>
                    <xdr:row>68</xdr:row>
                    <xdr:rowOff>133350</xdr:rowOff>
                  </from>
                  <to>
                    <xdr:col>7</xdr:col>
                    <xdr:colOff>9525</xdr:colOff>
                    <xdr:row>70</xdr:row>
                    <xdr:rowOff>28575</xdr:rowOff>
                  </to>
                </anchor>
              </controlPr>
            </control>
          </mc:Choice>
        </mc:AlternateContent>
        <mc:AlternateContent xmlns:mc="http://schemas.openxmlformats.org/markup-compatibility/2006">
          <mc:Choice Requires="x14">
            <control shapeId="5366" r:id="rId135" name="CheckBox_E70">
              <controlPr defaultSize="0" autoFill="0" autoLine="0" autoPict="0" macro="[0]!CheckboxClick">
                <anchor moveWithCells="1">
                  <from>
                    <xdr:col>4</xdr:col>
                    <xdr:colOff>1685925</xdr:colOff>
                    <xdr:row>68</xdr:row>
                    <xdr:rowOff>133350</xdr:rowOff>
                  </from>
                  <to>
                    <xdr:col>5</xdr:col>
                    <xdr:colOff>9525</xdr:colOff>
                    <xdr:row>70</xdr:row>
                    <xdr:rowOff>28575</xdr:rowOff>
                  </to>
                </anchor>
              </controlPr>
            </control>
          </mc:Choice>
        </mc:AlternateContent>
        <mc:AlternateContent xmlns:mc="http://schemas.openxmlformats.org/markup-compatibility/2006">
          <mc:Choice Requires="x14">
            <control shapeId="5367" r:id="rId136" name="CheckBox_C71">
              <controlPr defaultSize="0" autoFill="0" autoLine="0" autoPict="0" macro="[0]!CheckboxClick">
                <anchor moveWithCells="1">
                  <from>
                    <xdr:col>2</xdr:col>
                    <xdr:colOff>866775</xdr:colOff>
                    <xdr:row>69</xdr:row>
                    <xdr:rowOff>133350</xdr:rowOff>
                  </from>
                  <to>
                    <xdr:col>3</xdr:col>
                    <xdr:colOff>57150</xdr:colOff>
                    <xdr:row>71</xdr:row>
                    <xdr:rowOff>28575</xdr:rowOff>
                  </to>
                </anchor>
              </controlPr>
            </control>
          </mc:Choice>
        </mc:AlternateContent>
        <mc:AlternateContent xmlns:mc="http://schemas.openxmlformats.org/markup-compatibility/2006">
          <mc:Choice Requires="x14">
            <control shapeId="5368" r:id="rId137" name="CheckBox_G71">
              <controlPr defaultSize="0" autoFill="0" autoLine="0" autoPict="0" macro="[0]!CheckboxClick">
                <anchor moveWithCells="1">
                  <from>
                    <xdr:col>6</xdr:col>
                    <xdr:colOff>1028700</xdr:colOff>
                    <xdr:row>69</xdr:row>
                    <xdr:rowOff>133350</xdr:rowOff>
                  </from>
                  <to>
                    <xdr:col>7</xdr:col>
                    <xdr:colOff>9525</xdr:colOff>
                    <xdr:row>71</xdr:row>
                    <xdr:rowOff>28575</xdr:rowOff>
                  </to>
                </anchor>
              </controlPr>
            </control>
          </mc:Choice>
        </mc:AlternateContent>
        <mc:AlternateContent xmlns:mc="http://schemas.openxmlformats.org/markup-compatibility/2006">
          <mc:Choice Requires="x14">
            <control shapeId="5369" r:id="rId138" name="CheckBox_E71">
              <controlPr defaultSize="0" autoFill="0" autoLine="0" autoPict="0" macro="[0]!CheckboxClick">
                <anchor moveWithCells="1">
                  <from>
                    <xdr:col>4</xdr:col>
                    <xdr:colOff>1685925</xdr:colOff>
                    <xdr:row>69</xdr:row>
                    <xdr:rowOff>133350</xdr:rowOff>
                  </from>
                  <to>
                    <xdr:col>5</xdr:col>
                    <xdr:colOff>9525</xdr:colOff>
                    <xdr:row>71</xdr:row>
                    <xdr:rowOff>28575</xdr:rowOff>
                  </to>
                </anchor>
              </controlPr>
            </control>
          </mc:Choice>
        </mc:AlternateContent>
        <mc:AlternateContent xmlns:mc="http://schemas.openxmlformats.org/markup-compatibility/2006">
          <mc:Choice Requires="x14">
            <control shapeId="5370" r:id="rId139" name="CheckBox_C72">
              <controlPr defaultSize="0" autoFill="0" autoLine="0" autoPict="0" macro="[0]!CheckboxClick">
                <anchor moveWithCells="1">
                  <from>
                    <xdr:col>2</xdr:col>
                    <xdr:colOff>866775</xdr:colOff>
                    <xdr:row>70</xdr:row>
                    <xdr:rowOff>133350</xdr:rowOff>
                  </from>
                  <to>
                    <xdr:col>3</xdr:col>
                    <xdr:colOff>57150</xdr:colOff>
                    <xdr:row>72</xdr:row>
                    <xdr:rowOff>28575</xdr:rowOff>
                  </to>
                </anchor>
              </controlPr>
            </control>
          </mc:Choice>
        </mc:AlternateContent>
        <mc:AlternateContent xmlns:mc="http://schemas.openxmlformats.org/markup-compatibility/2006">
          <mc:Choice Requires="x14">
            <control shapeId="5371" r:id="rId140" name="CheckBox_G72">
              <controlPr defaultSize="0" autoFill="0" autoLine="0" autoPict="0" macro="[0]!CheckboxClick">
                <anchor moveWithCells="1">
                  <from>
                    <xdr:col>6</xdr:col>
                    <xdr:colOff>1028700</xdr:colOff>
                    <xdr:row>70</xdr:row>
                    <xdr:rowOff>133350</xdr:rowOff>
                  </from>
                  <to>
                    <xdr:col>7</xdr:col>
                    <xdr:colOff>9525</xdr:colOff>
                    <xdr:row>72</xdr:row>
                    <xdr:rowOff>28575</xdr:rowOff>
                  </to>
                </anchor>
              </controlPr>
            </control>
          </mc:Choice>
        </mc:AlternateContent>
        <mc:AlternateContent xmlns:mc="http://schemas.openxmlformats.org/markup-compatibility/2006">
          <mc:Choice Requires="x14">
            <control shapeId="5372" r:id="rId141" name="CheckBox_E72">
              <controlPr defaultSize="0" autoFill="0" autoLine="0" autoPict="0" macro="[0]!CheckboxClick">
                <anchor moveWithCells="1">
                  <from>
                    <xdr:col>4</xdr:col>
                    <xdr:colOff>1685925</xdr:colOff>
                    <xdr:row>70</xdr:row>
                    <xdr:rowOff>133350</xdr:rowOff>
                  </from>
                  <to>
                    <xdr:col>5</xdr:col>
                    <xdr:colOff>9525</xdr:colOff>
                    <xdr:row>72</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0CDA70A-7132-464E-9D04-DD2614EB208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B1</xm:sqref>
        </x14:conditionalFormatting>
        <x14:conditionalFormatting xmlns:xm="http://schemas.microsoft.com/office/excel/2006/main">
          <x14:cfRule type="dataBar" id="{9CDEBEB2-4D29-4F94-ABD6-EFD5EBFA699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B19</xm:sqref>
        </x14:conditionalFormatting>
        <x14:conditionalFormatting xmlns:xm="http://schemas.microsoft.com/office/excel/2006/main">
          <x14:cfRule type="dataBar" id="{C54B36A4-902E-4AB9-B4E7-825F8D9EC8A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B28</xm:sqref>
        </x14:conditionalFormatting>
        <x14:conditionalFormatting xmlns:xm="http://schemas.microsoft.com/office/excel/2006/main">
          <x14:cfRule type="dataBar" id="{80BB0377-C000-4700-B18B-41CAA10BE0B8}">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B46</xm:sqref>
        </x14:conditionalFormatting>
        <x14:conditionalFormatting xmlns:xm="http://schemas.microsoft.com/office/excel/2006/main">
          <x14:cfRule type="dataBar" id="{FC8889D6-4484-4C81-9899-644674613A59}">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B69</xm:sqref>
        </x14:conditionalFormatting>
        <x14:conditionalFormatting xmlns:xm="http://schemas.microsoft.com/office/excel/2006/main">
          <x14:cfRule type="dataBar" id="{B90F1EE1-D8C0-4D7B-9391-A0A851D5B23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52809-D878-41B1-BF9B-C784857CE5A1}">
  <sheetPr codeName="Blad5"/>
  <dimension ref="A1:J77"/>
  <sheetViews>
    <sheetView zoomScaleNormal="100" workbookViewId="0">
      <selection activeCell="B2" sqref="B2"/>
    </sheetView>
  </sheetViews>
  <sheetFormatPr defaultRowHeight="12.75"/>
  <cols>
    <col min="1" max="1" width="64" customWidth="1"/>
    <col min="2" max="2" width="9.7109375" customWidth="1"/>
    <col min="3" max="3" width="16.42578125" customWidth="1"/>
    <col min="4" max="4" width="3" customWidth="1"/>
    <col min="5" max="5" width="29.140625" customWidth="1"/>
    <col min="6" max="6" width="3" style="8" customWidth="1"/>
    <col min="7" max="7" width="19.42578125" customWidth="1"/>
    <col min="8" max="8" width="3" style="8" customWidth="1"/>
    <col min="9" max="9" width="53.140625" bestFit="1" customWidth="1"/>
    <col min="10" max="10" width="36.5703125" customWidth="1"/>
  </cols>
  <sheetData>
    <row r="1" spans="1:8">
      <c r="A1" s="7" t="str">
        <f>"FLOORMANAGER KAST "&amp;B2</f>
        <v>FLOORMANAGER KAST INVULLEN</v>
      </c>
      <c r="B1" s="16" t="e">
        <f>IF(C1="","nvt",(SUM(B19,B28,B34,B46,B69))/(5-COUNTIF(B19,"nvt")-COUNTIF(B28,"nvt")-COUNTIF(B34,"nvt")-COUNTIF(B46,"nvt")-COUNTIF(B69,"nvt")))</f>
        <v>#DIV/0!</v>
      </c>
      <c r="C1" s="7" t="str">
        <f>IF(COUNTIFS(B19,"nvt",B28,"nvt",B34,"nvt",B46,"nvt",B69,"nvt")&lt;1,"uitgevoerd","")</f>
        <v>uitgevoerd</v>
      </c>
      <c r="E1" s="9" t="e">
        <f>IF(B1="nvt","","Geconstateerde afwijkingen:")</f>
        <v>#DIV/0!</v>
      </c>
      <c r="F1" s="49" t="e">
        <f>IF(B1="nvt","",SUM(F19,F28,F34,F46,F69))</f>
        <v>#DIV/0!</v>
      </c>
      <c r="G1" t="e">
        <f>IF(B1="nvt","","en direct hersteld:")</f>
        <v>#DIV/0!</v>
      </c>
      <c r="H1" s="49" t="e">
        <f>IF(B1="nvt","",SUM(H19,H28,H34,H46,H69))</f>
        <v>#DIV/0!</v>
      </c>
    </row>
    <row r="2" spans="1:8">
      <c r="A2" t="s">
        <v>220</v>
      </c>
      <c r="B2" s="29" t="s">
        <v>116</v>
      </c>
    </row>
    <row r="3" spans="1:8">
      <c r="A3" t="s">
        <v>93</v>
      </c>
      <c r="B3" s="29" t="s">
        <v>116</v>
      </c>
    </row>
    <row r="4" spans="1:8">
      <c r="A4" t="s">
        <v>72</v>
      </c>
      <c r="B4" s="29" t="s">
        <v>116</v>
      </c>
    </row>
    <row r="5" spans="1:8">
      <c r="A5" t="s">
        <v>70</v>
      </c>
      <c r="B5" s="29" t="s">
        <v>116</v>
      </c>
    </row>
    <row r="6" spans="1:8">
      <c r="A6" t="s">
        <v>79</v>
      </c>
      <c r="B6" s="29"/>
      <c r="C6" s="15">
        <v>1</v>
      </c>
      <c r="E6" s="28"/>
    </row>
    <row r="7" spans="1:8">
      <c r="A7" t="s">
        <v>71</v>
      </c>
      <c r="B7" s="18" t="s">
        <v>116</v>
      </c>
    </row>
    <row r="8" spans="1:8">
      <c r="A8" t="s">
        <v>171</v>
      </c>
      <c r="C8" s="29" t="b">
        <v>0</v>
      </c>
    </row>
    <row r="9" spans="1:8">
      <c r="A9" t="s">
        <v>111</v>
      </c>
      <c r="C9" s="29" t="b">
        <v>0</v>
      </c>
    </row>
    <row r="10" spans="1:8">
      <c r="A10" t="s">
        <v>92</v>
      </c>
      <c r="C10" s="29" t="b">
        <v>0</v>
      </c>
    </row>
    <row r="11" spans="1:8">
      <c r="A11" t="s">
        <v>94</v>
      </c>
      <c r="B11" s="29" t="str">
        <f>IF(C10=FALSE,"nvt","INVULLEN")</f>
        <v>nvt</v>
      </c>
    </row>
    <row r="12" spans="1:8">
      <c r="A12" t="s">
        <v>95</v>
      </c>
      <c r="B12" s="29" t="str">
        <f>IF(C10=FALSE,"nvt","INVULLEN")</f>
        <v>nvt</v>
      </c>
    </row>
    <row r="13" spans="1:8">
      <c r="A13" t="s">
        <v>168</v>
      </c>
      <c r="B13" s="29" t="s">
        <v>116</v>
      </c>
    </row>
    <row r="14" spans="1:8">
      <c r="A14" t="s">
        <v>167</v>
      </c>
      <c r="B14" s="29" t="s">
        <v>116</v>
      </c>
    </row>
    <row r="15" spans="1:8">
      <c r="A15" t="s">
        <v>169</v>
      </c>
      <c r="B15" s="29" t="s">
        <v>116</v>
      </c>
    </row>
    <row r="16" spans="1:8">
      <c r="A16" t="s">
        <v>170</v>
      </c>
      <c r="B16" s="29" t="s">
        <v>116</v>
      </c>
    </row>
    <row r="19" spans="1:10">
      <c r="A19" s="7" t="s">
        <v>96</v>
      </c>
      <c r="B19" s="16">
        <f>IF(Inputblad!C3&lt;1,"nvt",(COUNTA(B20:B26)-COUNTIF(B20:B26,0)-COUNTIF(B20:B26,"nvt"))/(COUNTA(B20:B26)-COUNTIF(B20:B26,"nvt")))</f>
        <v>0</v>
      </c>
      <c r="C19" s="7" t="str">
        <f>IF(B19="nvt","","uitgevoerd")</f>
        <v>uitgevoerd</v>
      </c>
      <c r="E19" s="9" t="str">
        <f>IF(B19="nvt","","Geconstateerde afwijkingen:")</f>
        <v>Geconstateerde afwijkingen:</v>
      </c>
      <c r="F19" s="49">
        <f>IF(B19="nvt","",COUNTIF(F20:F26,TRUE))</f>
        <v>0</v>
      </c>
      <c r="G19" t="str">
        <f>IF(B19="nvt","","en direct hersteld:")</f>
        <v>en direct hersteld:</v>
      </c>
      <c r="H19" s="8">
        <f>IF(B19="nvt","",COUNTIF(H20:H26,TRUE))</f>
        <v>0</v>
      </c>
      <c r="J19" s="29"/>
    </row>
    <row r="20" spans="1:10">
      <c r="A20" t="s">
        <v>23</v>
      </c>
      <c r="B20" s="10">
        <f>IF(ISNUMBER(SEARCH("niet van toepassing",J20))+ISNUMBER(SEARCH("buiten scope",J20))+ISNUMBER(SEARCH("nvt",J20)),"nvt",IF(Inputblad!C$3&lt;1,"nvt",IF(D20=FALSE,0,IF((F20+H20)=0,1,IF((F20+H20)=2,2,3)))))</f>
        <v>0</v>
      </c>
      <c r="C20" t="s">
        <v>21</v>
      </c>
      <c r="D20" s="30" t="b">
        <v>0</v>
      </c>
      <c r="E20" s="9" t="s">
        <v>68</v>
      </c>
      <c r="F20" s="50" t="b">
        <v>0</v>
      </c>
      <c r="G20" s="9" t="s">
        <v>107</v>
      </c>
      <c r="H20" s="50" t="b">
        <v>0</v>
      </c>
      <c r="I20" t="str" cm="1">
        <f t="array" ref="I20">IF(B20="nvt","",_xlfn.IFS(B20="","",B20=0,"Motivatie waarom niet gecontroleerd/uitgevoerd:",B20&lt;=1,"Eventuele toelichting:",B20=2,"Toelichting op afwijking(en) en herstelactie(s):",B20=3,"Toelichting op afwijking(en), advies vervolgstappen:"))</f>
        <v>Motivatie waarom niet gecontroleerd/uitgevoerd:</v>
      </c>
      <c r="J20" s="29"/>
    </row>
    <row r="21" spans="1:10">
      <c r="A21" t="s">
        <v>81</v>
      </c>
      <c r="B21" s="10">
        <f>IF(ISNUMBER(SEARCH("niet van toepassing",J21))+ISNUMBER(SEARCH("buiten scope",J21))+ISNUMBER(SEARCH("nvt",J21)),"nvt",IF(Inputblad!C$3&lt;1,"nvt",IF(D21=FALSE,0,IF((F21+H21)=0,1,IF((F21+H21)=2,2,3)))))</f>
        <v>0</v>
      </c>
      <c r="C21" t="s">
        <v>21</v>
      </c>
      <c r="D21" s="30" t="b">
        <v>0</v>
      </c>
      <c r="E21" s="9" t="s">
        <v>68</v>
      </c>
      <c r="F21" s="50" t="b">
        <v>0</v>
      </c>
      <c r="G21" s="9" t="s">
        <v>107</v>
      </c>
      <c r="H21" s="50" t="b">
        <v>0</v>
      </c>
      <c r="I21" t="str" cm="1">
        <f t="array" ref="I21">IF(B21="nvt","",_xlfn.IFS(B21="","",B21=0,"Motivatie waarom niet gecontroleerd/uitgevoerd:",B21&lt;=1,"Eventuele toelichting:",B21=2,"Toelichting op afwijking(en) en herstelactie(s):",B21=3,"Toelichting op afwijking(en), advies vervolgstappen:"))</f>
        <v>Motivatie waarom niet gecontroleerd/uitgevoerd:</v>
      </c>
      <c r="J21" s="29"/>
    </row>
    <row r="22" spans="1:10">
      <c r="A22" t="s">
        <v>17</v>
      </c>
      <c r="B22" s="10">
        <f>IF(ISNUMBER(SEARCH("niet van toepassing",J22))+ISNUMBER(SEARCH("buiten scope",J22))+ISNUMBER(SEARCH("nvt",J22)),"nvt",IF(Inputblad!C$3&lt;1,"nvt",IF(D22=FALSE,0,IF((F22+H22)=0,1,IF((F22+H22)=2,2,3)))))</f>
        <v>0</v>
      </c>
      <c r="C22" t="s">
        <v>21</v>
      </c>
      <c r="D22" s="30" t="b">
        <v>0</v>
      </c>
      <c r="E22" s="9" t="s">
        <v>68</v>
      </c>
      <c r="F22" s="50" t="b">
        <v>0</v>
      </c>
      <c r="G22" s="9" t="s">
        <v>107</v>
      </c>
      <c r="H22" s="50" t="b">
        <v>0</v>
      </c>
      <c r="I22" t="str" cm="1">
        <f t="array" ref="I22">IF(B22="nvt","",_xlfn.IFS(B22="","",B22=0,"Motivatie waarom niet gecontroleerd/uitgevoerd:",B22&lt;=1,"Eventuele toelichting:",B22=2,"Toelichting op afwijking(en) en herstelactie(s):",B22=3,"Toelichting op afwijking(en), advies vervolgstappen:"))</f>
        <v>Motivatie waarom niet gecontroleerd/uitgevoerd:</v>
      </c>
      <c r="J22" s="29"/>
    </row>
    <row r="23" spans="1:10">
      <c r="A23" t="s">
        <v>82</v>
      </c>
      <c r="B23" s="10" t="str">
        <f>IF(ISNUMBER(SEARCH("niet van toepassing",J23))+ISNUMBER(SEARCH("buiten scope",J23))+ISNUMBER(SEARCH("nvt",J23)),"nvt",IF(C9=TRUE,IF(D23=FALSE,0,IF((F23+H23)=0,1,IF((F23+H23)=2,2,3))),"nvt"))</f>
        <v>nvt</v>
      </c>
      <c r="C23" t="s">
        <v>67</v>
      </c>
      <c r="D23" s="30" t="b">
        <v>0</v>
      </c>
      <c r="E23" s="9" t="s">
        <v>68</v>
      </c>
      <c r="F23" s="50" t="b">
        <v>0</v>
      </c>
      <c r="G23" s="9" t="s">
        <v>107</v>
      </c>
      <c r="H23" s="50" t="b">
        <v>0</v>
      </c>
      <c r="I23" t="str" cm="1">
        <f t="array" ref="I23">IF(B23="nvt","",_xlfn.IFS(B23="","",B23=0,"Motivatie waarom niet gecontroleerd/uitgevoerd:",B23&lt;=1,"Eventuele toelichting:",B23=2,"Toelichting op afwijking(en) en herstelactie(s):",B23=3,"Toelichting op afwijking(en), advies vervolgstappen:"))</f>
        <v/>
      </c>
      <c r="J23" s="29"/>
    </row>
    <row r="24" spans="1:10">
      <c r="A24" t="s">
        <v>83</v>
      </c>
      <c r="B24" s="10" t="str">
        <f>IF(ISNUMBER(SEARCH("niet van toepassing",J24))+ISNUMBER(SEARCH("buiten scope",J24))+ISNUMBER(SEARCH("nvt",J24)),"nvt",IF(C10=TRUE,IF(D24=FALSE,0,IF((F24+H24)=0,1,IF((F24+H24)=2,2,3))),"nvt"))</f>
        <v>nvt</v>
      </c>
      <c r="C24" t="s">
        <v>67</v>
      </c>
      <c r="D24" s="30" t="b">
        <v>0</v>
      </c>
      <c r="E24" s="9" t="s">
        <v>68</v>
      </c>
      <c r="F24" s="50" t="b">
        <v>0</v>
      </c>
      <c r="G24" s="9" t="s">
        <v>107</v>
      </c>
      <c r="H24" s="50" t="b">
        <v>0</v>
      </c>
      <c r="I24" t="str" cm="1">
        <f t="array" ref="I24">IF(B24="nvt","",_xlfn.IFS(B24="","",B24=0,"Motivatie waarom niet gecontroleerd/uitgevoerd:",B24&lt;=1,"Eventuele toelichting:",B24=2,"Toelichting op afwijking(en) en herstelactie(s):",B24=3,"Toelichting op afwijking(en), advies vervolgstappen:"))</f>
        <v/>
      </c>
      <c r="J24" s="29"/>
    </row>
    <row r="25" spans="1:10">
      <c r="A25" t="s">
        <v>75</v>
      </c>
      <c r="B25" s="10">
        <f>IF(ISNUMBER(SEARCH("niet van toepassing",J25))+ISNUMBER(SEARCH("buiten scope",J25))+ISNUMBER(SEARCH("nvt",J25)),"nvt",IF(Inputblad!C$3&lt;1,"nvt",IF(D25=FALSE,0,IF((F25+H25)=0,1,IF((F25+H25)=2,2,3)))))</f>
        <v>0</v>
      </c>
      <c r="C25" t="s">
        <v>67</v>
      </c>
      <c r="D25" s="30" t="b">
        <v>0</v>
      </c>
      <c r="E25" s="9" t="s">
        <v>68</v>
      </c>
      <c r="F25" s="50" t="b">
        <v>0</v>
      </c>
      <c r="G25" s="9" t="s">
        <v>107</v>
      </c>
      <c r="H25" s="50" t="b">
        <v>0</v>
      </c>
      <c r="I25" t="str" cm="1">
        <f t="array" ref="I25">IF(B25="nvt","",_xlfn.IFS(B25="","",B25=0,"Motivatie waarom niet gecontroleerd/uitgevoerd:",B25&lt;=1,"Eventuele toelichting:",B25=2,"Toelichting op afwijking(en) en herstelactie(s):",B25=3,"Toelichting op afwijking(en), advies vervolgstappen:"))</f>
        <v>Motivatie waarom niet gecontroleerd/uitgevoerd:</v>
      </c>
      <c r="J25" s="29"/>
    </row>
    <row r="26" spans="1:10">
      <c r="A26" t="s">
        <v>76</v>
      </c>
      <c r="B26" s="10">
        <f>IF(ISNUMBER(SEARCH("niet van toepassing",J26))+ISNUMBER(SEARCH("buiten scope",J26))+ISNUMBER(SEARCH("nvt",J26)),"nvt",IF(Inputblad!C$3&lt;1,"nvt",IF(D26=FALSE,0,IF((F26+H26)=0,1,IF((F26+H26)=2,2,3)))))</f>
        <v>0</v>
      </c>
      <c r="C26" t="s">
        <v>67</v>
      </c>
      <c r="D26" s="30" t="b">
        <v>0</v>
      </c>
      <c r="E26" s="9" t="s">
        <v>68</v>
      </c>
      <c r="F26" s="50" t="b">
        <v>0</v>
      </c>
      <c r="G26" s="9" t="s">
        <v>107</v>
      </c>
      <c r="H26" s="50" t="b">
        <v>0</v>
      </c>
      <c r="I26" t="str" cm="1">
        <f t="array" ref="I26">IF(B26="nvt","",_xlfn.IFS(B26="","",B26=0,"Motivatie waarom niet gecontroleerd/uitgevoerd:",B26&lt;=1,"Eventuele toelichting:",B26=2,"Toelichting op afwijking(en) en herstelactie(s):",B26=3,"Toelichting op afwijking(en), advies vervolgstappen:"))</f>
        <v>Motivatie waarom niet gecontroleerd/uitgevoerd:</v>
      </c>
      <c r="J26" s="29"/>
    </row>
    <row r="27" spans="1:10">
      <c r="G27" s="9"/>
    </row>
    <row r="28" spans="1:10">
      <c r="A28" s="7" t="s">
        <v>78</v>
      </c>
      <c r="B28" s="16">
        <f>IF(Inputblad!C3&lt;1,"nvt",(COUNTA(B29:B32)-COUNTIF(B29:B32,0)-COUNTIF(B29:B32,"nvt"))/(COUNTA(B29:B32)-COUNTIF(B29:B32,"nvt")))</f>
        <v>0</v>
      </c>
      <c r="C28" s="7" t="str">
        <f>IF(B28="nvt","","uitgevoerd")</f>
        <v>uitgevoerd</v>
      </c>
      <c r="E28" s="9" t="str">
        <f>IF(B28="nvt","","Geconstateerde afwijkingen:")</f>
        <v>Geconstateerde afwijkingen:</v>
      </c>
      <c r="F28" s="49">
        <f>IF(B28="nvt","",COUNTIF(F29:F32,TRUE))</f>
        <v>0</v>
      </c>
      <c r="G28" t="str">
        <f>IF(B28="nvt","","en direct hersteld:")</f>
        <v>en direct hersteld:</v>
      </c>
      <c r="H28" s="8">
        <f>IF(B28="nvt","",COUNTIF(H29:H32,TRUE))</f>
        <v>0</v>
      </c>
      <c r="J28" s="29"/>
    </row>
    <row r="29" spans="1:10">
      <c r="A29" t="s">
        <v>112</v>
      </c>
      <c r="B29" s="10">
        <f>IF(ISNUMBER(SEARCH("niet van toepassing",J29))+ISNUMBER(SEARCH("buiten scope",J29))+ISNUMBER(SEARCH("nvt",J29)),"nvt",IF(Inputblad!C$3&lt;1,"nvt",IF(D29=FALSE,0,IF((F29+H29)=0,1,IF((F29+H29)=2,2,3)))))</f>
        <v>0</v>
      </c>
      <c r="C29" t="s">
        <v>67</v>
      </c>
      <c r="D29" s="30" t="b">
        <v>0</v>
      </c>
      <c r="E29" s="9" t="s">
        <v>68</v>
      </c>
      <c r="F29" s="50" t="b">
        <v>0</v>
      </c>
      <c r="G29" s="9" t="s">
        <v>107</v>
      </c>
      <c r="H29" s="50" t="b">
        <v>0</v>
      </c>
      <c r="I29" t="str" cm="1">
        <f t="array" ref="I29">IF(B29="nvt","",_xlfn.IFS(B29="","",B29=0,"Motivatie waarom niet gecontroleerd/uitgevoerd:",B29&lt;=1,"Eventuele toelichting:",B29=2,"Toelichting op afwijking(en) en herstelactie(s):",B29=3,"Toelichting op afwijking(en), advies vervolgstappen:"))</f>
        <v>Motivatie waarom niet gecontroleerd/uitgevoerd:</v>
      </c>
      <c r="J29" s="29"/>
    </row>
    <row r="30" spans="1:10">
      <c r="A30" t="s">
        <v>74</v>
      </c>
      <c r="B30" s="10">
        <f>IF(ISNUMBER(SEARCH("niet van toepassing",J30))+ISNUMBER(SEARCH("buiten scope",J30))+ISNUMBER(SEARCH("nvt",J30)),"nvt",IF(Inputblad!C3&lt;1,"nvt",IF(B7=0,"nvt",IF(D30=FALSE,0,IF((F30+H30)=0,1,IF((F30+H30)=2,2,3))))))</f>
        <v>0</v>
      </c>
      <c r="C30" t="s">
        <v>67</v>
      </c>
      <c r="D30" s="30" t="b">
        <v>0</v>
      </c>
      <c r="E30" s="9" t="s">
        <v>68</v>
      </c>
      <c r="F30" s="50" t="b">
        <v>0</v>
      </c>
      <c r="G30" s="9" t="s">
        <v>107</v>
      </c>
      <c r="H30" s="50" t="b">
        <v>0</v>
      </c>
      <c r="I30" t="str" cm="1">
        <f t="array" ref="I30">IF(B30="nvt","",_xlfn.IFS(B30="","",B30=0,"Motivatie waarom niet gecontroleerd/uitgevoerd:",B30&lt;=1,"Eventuele toelichting:",B30=2,"Toelichting op afwijking(en) en herstelactie(s):",B30=3,"Toelichting op afwijking(en), advies vervolgstappen:"))</f>
        <v>Motivatie waarom niet gecontroleerd/uitgevoerd:</v>
      </c>
      <c r="J30" s="29"/>
    </row>
    <row r="31" spans="1:10">
      <c r="A31" t="s">
        <v>115</v>
      </c>
      <c r="B31" s="10" t="str">
        <f>IF(ISNUMBER(SEARCH("niet van toepassing",J31))+ISNUMBER(SEARCH("buiten scope",J31))+ISNUMBER(SEARCH("nvt",J31)),"nvt",IF(C8=TRUE,IF(D31=FALSE,0,IF((F31+H31)=0,1,IF((F31+H31)=2,2,3))),"nvt"))</f>
        <v>nvt</v>
      </c>
      <c r="C31" t="s">
        <v>67</v>
      </c>
      <c r="D31" s="30" t="b">
        <v>0</v>
      </c>
      <c r="E31" s="9" t="s">
        <v>68</v>
      </c>
      <c r="F31" s="50" t="b">
        <v>0</v>
      </c>
      <c r="G31" s="9" t="s">
        <v>107</v>
      </c>
      <c r="H31" s="50" t="b">
        <v>0</v>
      </c>
      <c r="I31" t="str" cm="1">
        <f t="array" ref="I31">IF(B31="nvt","",_xlfn.IFS(B31="","",B31=0,"Motivatie waarom niet gecontroleerd/uitgevoerd:",B31&lt;=1,"Eventuele toelichting:",B31=2,"Toelichting op afwijking(en) en herstelactie(s):",B31=3,"Toelichting op afwijking(en), advies vervolgstappen:"))</f>
        <v/>
      </c>
      <c r="J31" s="29"/>
    </row>
    <row r="32" spans="1:10">
      <c r="A32" t="s">
        <v>113</v>
      </c>
      <c r="B32" s="10">
        <f>IF(ISNUMBER(SEARCH("niet van toepassing",J32))+ISNUMBER(SEARCH("buiten scope",J32))+ISNUMBER(SEARCH("nvt",J32)),"nvt",IF(Inputblad!C$3&lt;1,"nvt",IF(D32=FALSE,0,IF((F32+H32)=0,1,IF((F32+H32)=2,2,3)))))</f>
        <v>0</v>
      </c>
      <c r="C32" t="s">
        <v>67</v>
      </c>
      <c r="D32" s="30" t="b">
        <v>0</v>
      </c>
      <c r="E32" s="9" t="s">
        <v>68</v>
      </c>
      <c r="F32" s="50" t="b">
        <v>0</v>
      </c>
      <c r="G32" s="9" t="s">
        <v>107</v>
      </c>
      <c r="H32" s="50" t="b">
        <v>0</v>
      </c>
      <c r="I32" t="str" cm="1">
        <f t="array" ref="I32">IF(B32="nvt","",_xlfn.IFS(B32="","",B32=0,"Motivatie waarom niet gecontroleerd/uitgevoerd:",B32&lt;=1,"Eventuele toelichting:",B32=2,"Toelichting op afwijking(en) en herstelactie(s):",B32=3,"Toelichting op afwijking(en), advies vervolgstappen:"))</f>
        <v>Motivatie waarom niet gecontroleerd/uitgevoerd:</v>
      </c>
      <c r="J32" s="29"/>
    </row>
    <row r="33" spans="1:10">
      <c r="G33" s="9"/>
    </row>
    <row r="34" spans="1:10">
      <c r="A34" s="7" t="s">
        <v>151</v>
      </c>
      <c r="B34" s="16" t="e">
        <f>IF(Inputblad!C3&lt;1,"nvt",(COUNTA(B35:B44)-COUNTIF(B35:B44,0)-COUNTIF(B35:B44,"nvt"))/(COUNTA(B35:B44)-COUNTIF(B35:B44,"nvt")))</f>
        <v>#DIV/0!</v>
      </c>
      <c r="C34" s="7" t="e">
        <f>IF(B34="nvt","","uitgevoerd")</f>
        <v>#DIV/0!</v>
      </c>
      <c r="E34" s="9" t="e">
        <f>IF(B34="nvt","","Geconstateerde afwijkingen:")</f>
        <v>#DIV/0!</v>
      </c>
      <c r="F34" s="49" t="e">
        <f>IF(B34="nvt","",COUNTIF(F35:F40,TRUE))</f>
        <v>#DIV/0!</v>
      </c>
      <c r="G34" t="e">
        <f>IF(B34="nvt","","en direct hersteld:")</f>
        <v>#DIV/0!</v>
      </c>
      <c r="H34" s="8" t="e">
        <f>IF(B34="nvt","",COUNTIF(H35:H40,TRUE))</f>
        <v>#DIV/0!</v>
      </c>
      <c r="J34" s="29"/>
    </row>
    <row r="35" spans="1:10">
      <c r="A35" t="s">
        <v>77</v>
      </c>
      <c r="B35" s="10" t="str">
        <f>IF(ISNUMBER(SEARCH("niet van toepassing",J35))+ISNUMBER(SEARCH("buiten scope",J35))+ISNUMBER(SEARCH("nvt",J35)),"nvt",IF(Inputblad!B$24&gt;0,IF(D35=FALSE,0,IF((F35+H35)=0,1,IF((F35+H35)=2,2,3))),"nvt"))</f>
        <v>nvt</v>
      </c>
      <c r="C35" t="s">
        <v>67</v>
      </c>
      <c r="D35" s="30" t="b">
        <v>0</v>
      </c>
      <c r="E35" s="9" t="s">
        <v>68</v>
      </c>
      <c r="F35" s="50" t="b">
        <v>0</v>
      </c>
      <c r="G35" s="9" t="s">
        <v>107</v>
      </c>
      <c r="H35" s="50" t="b">
        <v>0</v>
      </c>
      <c r="I35" t="str" cm="1">
        <f t="array" ref="I35">IF(B35="nvt","",_xlfn.IFS(B35="","",B35=0,"Motivatie waarom niet gecontroleerd/uitgevoerd:",B35&lt;=1,"Eventuele toelichting:",B35=2,"Toelichting op afwijking(en) en herstelactie(s):",B35=3,"Toelichting op afwijking(en), advies vervolgstappen:"))</f>
        <v/>
      </c>
      <c r="J35" s="29"/>
    </row>
    <row r="36" spans="1:10">
      <c r="A36" t="s">
        <v>80</v>
      </c>
      <c r="B36" s="10" t="str">
        <f>IF(ISNUMBER(SEARCH("niet van toepassing",J36))+ISNUMBER(SEARCH("buiten scope",J36))+ISNUMBER(SEARCH("nvt",J36)),"nvt",IF(Inputblad!B$24&gt;0,IF(D36=FALSE,0,IF((F36+H36)=0,1,IF((F36+H36)=2,2,3))),"nvt"))</f>
        <v>nvt</v>
      </c>
      <c r="C36" t="s">
        <v>67</v>
      </c>
      <c r="D36" s="30" t="b">
        <v>0</v>
      </c>
      <c r="E36" s="9" t="s">
        <v>68</v>
      </c>
      <c r="F36" s="50" t="b">
        <v>0</v>
      </c>
      <c r="G36" s="9" t="s">
        <v>107</v>
      </c>
      <c r="H36" s="50" t="b">
        <v>0</v>
      </c>
      <c r="I36" t="str" cm="1">
        <f t="array" ref="I36">IF(B36="nvt","",_xlfn.IFS(B36="","",B36=0,"Motivatie waarom niet gecontroleerd/uitgevoerd:",B36&lt;=1,"Eventuele toelichting:",B36=2,"Toelichting op afwijking(en) en herstelactie(s):",B36=3,"Toelichting op afwijking(en), advies vervolgstappen:"))</f>
        <v/>
      </c>
      <c r="J36" s="29"/>
    </row>
    <row r="37" spans="1:10">
      <c r="A37" t="s">
        <v>66</v>
      </c>
      <c r="B37" s="10" t="str">
        <f>IF(ISNUMBER(SEARCH("niet van toepassing",J37))+ISNUMBER(SEARCH("buiten scope",J37))+ISNUMBER(SEARCH("nvt",J37)),"nvt",IF(Inputblad!B$24&gt;0,IF(D37=FALSE,0,IF((F37+H37)=0,1,IF((F37+H37)=2,2,3))),"nvt"))</f>
        <v>nvt</v>
      </c>
      <c r="C37" t="s">
        <v>67</v>
      </c>
      <c r="D37" s="30" t="b">
        <v>0</v>
      </c>
      <c r="E37" s="9" t="s">
        <v>68</v>
      </c>
      <c r="F37" s="50" t="b">
        <v>0</v>
      </c>
      <c r="G37" s="9" t="s">
        <v>107</v>
      </c>
      <c r="H37" s="50" t="b">
        <v>0</v>
      </c>
      <c r="I37" t="str" cm="1">
        <f t="array" ref="I37">IF(B37="nvt","",_xlfn.IFS(B37="","",B37=0,"Motivatie waarom niet gecontroleerd/uitgevoerd:",B37&lt;=1,"Eventuele toelichting:",B37=2,"Toelichting op afwijking(en) en herstelactie(s):",B37=3,"Toelichting op afwijking(en), advies vervolgstappen:"))</f>
        <v/>
      </c>
      <c r="J37" s="29"/>
    </row>
    <row r="38" spans="1:10">
      <c r="A38" t="s">
        <v>152</v>
      </c>
      <c r="B38" s="10" t="str">
        <f>IF(ISNUMBER(SEARCH("niet van toepassing",J38))+ISNUMBER(SEARCH("buiten scope",J38))+ISNUMBER(SEARCH("nvt",J38)),"nvt",IF(Inputblad!B$24=1,IF(D38=FALSE,0,IF((F38+H38)=0,1,IF((F38+H38)=2,2,3))),"nvt"))</f>
        <v>nvt</v>
      </c>
      <c r="C38" t="s">
        <v>21</v>
      </c>
      <c r="D38" s="30" t="b">
        <v>0</v>
      </c>
      <c r="E38" s="9" t="s">
        <v>68</v>
      </c>
      <c r="F38" s="50" t="b">
        <v>0</v>
      </c>
      <c r="G38" s="9" t="s">
        <v>107</v>
      </c>
      <c r="H38" s="50" t="b">
        <v>0</v>
      </c>
      <c r="I38" t="str" cm="1">
        <f t="array" ref="I38">IF(B38="nvt","",_xlfn.IFS(B38="","",B38=0,"Motivatie waarom niet gecontroleerd/uitgevoerd:",B38&lt;=1,"Eventuele toelichting:",B38=2,"Toelichting op afwijking(en) en herstelactie(s):",B38=3,"Toelichting op afwijking(en), advies vervolgstappen:"))</f>
        <v/>
      </c>
      <c r="J38" s="29"/>
    </row>
    <row r="39" spans="1:10">
      <c r="A39" t="s">
        <v>114</v>
      </c>
      <c r="B39" s="10" t="str">
        <f>IF(ISNUMBER(SEARCH("niet van toepassing",J39))+ISNUMBER(SEARCH("buiten scope",J39))+ISNUMBER(SEARCH("nvt",J39)),"nvt",IF(Inputblad!B$24=1,IF(D39=FALSE,0,IF((F39+H39)=0,1,IF((F39+H39)=2,2,3))),"nvt"))</f>
        <v>nvt</v>
      </c>
      <c r="C39" t="s">
        <v>67</v>
      </c>
      <c r="D39" s="30" t="b">
        <v>0</v>
      </c>
      <c r="E39" s="9" t="s">
        <v>68</v>
      </c>
      <c r="F39" s="50" t="b">
        <v>0</v>
      </c>
      <c r="G39" s="9" t="s">
        <v>107</v>
      </c>
      <c r="H39" s="50" t="b">
        <v>0</v>
      </c>
      <c r="I39" t="str" cm="1">
        <f t="array" ref="I39">IF(B39="nvt","",_xlfn.IFS(B39="","",B39=0,"Motivatie waarom niet gecontroleerd/uitgevoerd:",B39&lt;=1,"Eventuele toelichting:",B39=2,"Toelichting op afwijking(en) en herstelactie(s):",B39=3,"Toelichting op afwijking(en), advies vervolgstappen:"))</f>
        <v/>
      </c>
      <c r="J39" s="29"/>
    </row>
    <row r="40" spans="1:10">
      <c r="A40" t="s">
        <v>164</v>
      </c>
      <c r="B40" s="10" t="str">
        <f>IF(ISNUMBER(SEARCH("niet van toepassing",J40))+ISNUMBER(SEARCH("buiten scope",J40))+ISNUMBER(SEARCH("nvt",J40)),"nvt",IF(Inputblad!B24=1,IF(Inputblad!C24=1,IF(D40=FALSE,0,IF((F40+H40)=0,1,IF((F40+H40)=2,2,3)))),"nvt"))</f>
        <v>nvt</v>
      </c>
      <c r="C40" t="s">
        <v>21</v>
      </c>
      <c r="D40" s="30" t="b">
        <v>0</v>
      </c>
      <c r="E40" s="9" t="s">
        <v>68</v>
      </c>
      <c r="F40" s="50" t="b">
        <v>0</v>
      </c>
      <c r="G40" s="9" t="s">
        <v>107</v>
      </c>
      <c r="H40" s="50" t="b">
        <v>0</v>
      </c>
      <c r="I40" t="str" cm="1">
        <f t="array" ref="I40">IF(B40="nvt","",_xlfn.IFS(B40="","",B40=0,"Motivatie waarom niet gecontroleerd/uitgevoerd:",B40&lt;=1,"Eventuele toelichting:",B40=2,"Toelichting op afwijking(en) en herstelactie(s):",B40=3,"Toelichting op afwijking(en), advies vervolgstappen:"))</f>
        <v/>
      </c>
      <c r="J40" s="29"/>
    </row>
    <row r="41" spans="1:10">
      <c r="A41" t="s">
        <v>160</v>
      </c>
      <c r="B41" s="10" t="str">
        <f>IF(ISNUMBER(SEARCH("niet van toepassing",J41))+ISNUMBER(SEARCH("buiten scope",J41))+ISNUMBER(SEARCH("nvt",J41)),"nvt",IF(Inputblad!B$24=1,IF(D41=FALSE,0,IF((F41+H41)=0,1,IF((F41+H41)=2,2,3))),"nvt"))</f>
        <v>nvt</v>
      </c>
      <c r="C41" t="s">
        <v>21</v>
      </c>
      <c r="D41" s="30" t="b">
        <v>0</v>
      </c>
      <c r="E41" s="9" t="s">
        <v>68</v>
      </c>
      <c r="F41" s="50" t="b">
        <v>0</v>
      </c>
      <c r="G41" s="9" t="s">
        <v>107</v>
      </c>
      <c r="H41" s="50" t="b">
        <v>0</v>
      </c>
      <c r="I41" t="str" cm="1">
        <f t="array" ref="I41">IF(B41="nvt","",_xlfn.IFS(B41="","",B41=0,"Motivatie waarom niet gecontroleerd/uitgevoerd:",B41&lt;=1,"Eventuele toelichting:",B41=2,"Toelichting op afwijking(en) en herstelactie(s):",B41=3,"Toelichting op afwijking(en), advies vervolgstappen:"))</f>
        <v/>
      </c>
      <c r="J41" s="29"/>
    </row>
    <row r="42" spans="1:10">
      <c r="A42" t="s">
        <v>159</v>
      </c>
      <c r="B42" s="10" t="str">
        <f>IF(ISNUMBER(SEARCH("niet van toepassing",J42))+ISNUMBER(SEARCH("buiten scope",J42))+ISNUMBER(SEARCH("nvt",J42)),"nvt",IF(Inputblad!B24=1,IF(Inputblad!C3&lt;1,"nvt",IF(D42=FALSE,0,IF((F42+H42)=0,1,IF((F42+H42)=2,2,3)))),"nvt"))</f>
        <v>nvt</v>
      </c>
      <c r="C42" t="s">
        <v>67</v>
      </c>
      <c r="D42" s="30" t="b">
        <v>0</v>
      </c>
      <c r="E42" s="9" t="s">
        <v>68</v>
      </c>
      <c r="F42" s="50" t="b">
        <v>0</v>
      </c>
      <c r="G42" s="9" t="s">
        <v>107</v>
      </c>
      <c r="H42" s="50" t="b">
        <v>0</v>
      </c>
      <c r="I42" t="str" cm="1">
        <f t="array" ref="I42">IF(B42="nvt","",_xlfn.IFS(B42="","",B42=0,"Motivatie waarom niet gecontroleerd/uitgevoerd:",B42&lt;=1,"Eventuele toelichting:",B42=2,"Toelichting op afwijking(en) en herstelactie(s):",B42=3,"Toelichting op afwijking(en), advies vervolgstappen:"))</f>
        <v/>
      </c>
      <c r="J42" s="29"/>
    </row>
    <row r="43" spans="1:10">
      <c r="A43" t="s">
        <v>65</v>
      </c>
      <c r="B43" s="10" t="str">
        <f>IF(ISNUMBER(SEARCH("niet van toepassing",J43))+ISNUMBER(SEARCH("buiten scope",J43))+ISNUMBER(SEARCH("nvt",J43)),"nvt",IF(Inputblad!B$24=1,IF(Inputblad!C$3&lt;1,"nvt",IF(D43=FALSE,0,IF((F43+H43)=0,1,IF((F43+H43)=2,2,3)))),"nvt"))</f>
        <v>nvt</v>
      </c>
      <c r="C43" t="s">
        <v>67</v>
      </c>
      <c r="D43" s="30" t="b">
        <v>0</v>
      </c>
      <c r="E43" s="9" t="s">
        <v>68</v>
      </c>
      <c r="F43" s="50" t="b">
        <v>0</v>
      </c>
      <c r="G43" s="9" t="s">
        <v>107</v>
      </c>
      <c r="H43" s="50" t="b">
        <v>0</v>
      </c>
      <c r="I43" t="str" cm="1">
        <f t="array" ref="I43">IF(B43="nvt","",_xlfn.IFS(B43="","",B43=0,"Motivatie waarom niet gecontroleerd/uitgevoerd:",B43&lt;=1,"Eventuele toelichting:",B43=2,"Toelichting op afwijking(en) en herstelactie(s):",B43=3,"Toelichting op afwijking(en), advies vervolgstappen:"))</f>
        <v/>
      </c>
      <c r="J43" s="29"/>
    </row>
    <row r="44" spans="1:10">
      <c r="A44" t="s">
        <v>172</v>
      </c>
      <c r="B44" s="10" t="str">
        <f>IF(ISNUMBER(SEARCH("niet van toepassing",J44))+ISNUMBER(SEARCH("buiten scope",J44))+ISNUMBER(SEARCH("nvt",J44)),"nvt",IF(Inputblad!B24=1,IF(Inputblad!C3&lt;1,"nvt",IF(D44=FALSE,0,IF((F44+H44)=0,1,IF((F44+H44)=2,2,3)))),"nvt"))</f>
        <v>nvt</v>
      </c>
      <c r="C44" t="s">
        <v>67</v>
      </c>
      <c r="D44" s="30" t="b">
        <v>0</v>
      </c>
      <c r="E44" s="9" t="s">
        <v>68</v>
      </c>
      <c r="F44" s="50" t="b">
        <v>0</v>
      </c>
      <c r="G44" s="9" t="s">
        <v>107</v>
      </c>
      <c r="H44" s="50" t="b">
        <v>0</v>
      </c>
      <c r="I44" t="str" cm="1">
        <f t="array" ref="I44">IF(B44="nvt","",_xlfn.IFS(B44="","",B44=0,"Motivatie waarom niet gecontroleerd/uitgevoerd:",B44&lt;=1,"Eventuele toelichting:",B44=2,"Toelichting op afwijking(en) en herstelactie(s):",B44=3,"Toelichting op afwijking(en), advies vervolgstappen:"))</f>
        <v/>
      </c>
      <c r="J44" s="29"/>
    </row>
    <row r="46" spans="1:10">
      <c r="A46" s="7" t="s">
        <v>153</v>
      </c>
      <c r="B46" s="16">
        <f>IF(Inputblad!C3&lt;2,"nvt",((COUNTA(B47:B67)-COUNTIF(B47:B67,0)-COUNTIF(B47:B67,"nvt"))/(COUNTA(B47:B67)-COUNTIF(B47:B67,"nvt"))))</f>
        <v>0</v>
      </c>
      <c r="C46" s="7" t="str">
        <f>IF(B46="nvt","","uitgevoerd")</f>
        <v>uitgevoerd</v>
      </c>
      <c r="E46" s="9" t="str">
        <f>IF(B46="nvt","","Geconstateerde afwijkingen:")</f>
        <v>Geconstateerde afwijkingen:</v>
      </c>
      <c r="F46" s="49">
        <f>IF(B46="nvt","",COUNTIF(F47:F67,TRUE))</f>
        <v>0</v>
      </c>
      <c r="G46" t="str">
        <f>IF(B46="nvt","","en direct hersteld:")</f>
        <v>en direct hersteld:</v>
      </c>
      <c r="H46" s="8">
        <f>IF(B46="nvt","",COUNTIF(H47:H67,TRUE))</f>
        <v>0</v>
      </c>
      <c r="J46" s="29"/>
    </row>
    <row r="47" spans="1:10">
      <c r="A47" t="s">
        <v>154</v>
      </c>
      <c r="B47" s="10" t="str">
        <f>IF(ISNUMBER(SEARCH("niet van toepassing",J47))+ISNUMBER(SEARCH("buiten scope",J47))+ISNUMBER(SEARCH("nvt",J47)),"nvt",IF(Inputblad!B$24=1,IF(Inputblad!C$3&lt;1,"nvt",IF(D47=FALSE,0,IF((F47+H47)=0,1,IF((F47+H47)=2,2,3)))),"nvt"))</f>
        <v>nvt</v>
      </c>
      <c r="C47" t="s">
        <v>67</v>
      </c>
      <c r="D47" s="30" t="b">
        <v>0</v>
      </c>
      <c r="E47" s="9" t="s">
        <v>68</v>
      </c>
      <c r="F47" s="50" t="b">
        <v>0</v>
      </c>
      <c r="G47" s="9" t="s">
        <v>107</v>
      </c>
      <c r="H47" s="50" t="b">
        <v>0</v>
      </c>
      <c r="I47" t="str" cm="1">
        <f t="array" ref="I47">IF(B47="nvt","",_xlfn.IFS(B47="","",B47=0,"Motivatie waarom niet gecontroleerd/uitgevoerd:",B47&lt;=1,"Eventuele toelichting:",B47=2,"Toelichting op afwijking(en) en herstelactie(s):",B47=3,"Toelichting op afwijking(en), advies vervolgstappen:"))</f>
        <v/>
      </c>
      <c r="J47" s="29"/>
    </row>
    <row r="48" spans="1:10">
      <c r="A48" t="s">
        <v>216</v>
      </c>
      <c r="B48" s="10" t="str">
        <f>IF(ISNUMBER(SEARCH("niet van toepassing",J48))+ISNUMBER(SEARCH("buiten scope",J48))+ISNUMBER(SEARCH("nvt",J48)),"nvt",IF(Inputblad!B$24=1,IF(Inputblad!C$3&lt;1,"nvt",IF(D48=FALSE,0,IF((F48+H48)=0,1,IF((F48+H48)=2,2,3)))),"nvt"))</f>
        <v>nvt</v>
      </c>
      <c r="C48" t="s">
        <v>67</v>
      </c>
      <c r="D48" s="30" t="b">
        <v>0</v>
      </c>
      <c r="E48" s="9" t="s">
        <v>68</v>
      </c>
      <c r="F48" s="50" t="b">
        <v>0</v>
      </c>
      <c r="G48" s="9" t="s">
        <v>107</v>
      </c>
      <c r="H48" s="50"/>
      <c r="I48" t="str" cm="1">
        <f t="array" ref="I48">IF(B48="nvt","",_xlfn.IFS(B48="","",B48=0,"Motivatie waarom niet gecontroleerd/uitgevoerd:",B48&lt;=1,"Eventuele toelichting:",B48=2,"Toelichting op afwijking(en) en herstelactie(s):",B48=3,"Toelichting op afwijking(en), advies vervolgstappen:"))</f>
        <v/>
      </c>
      <c r="J48" s="29"/>
    </row>
    <row r="49" spans="1:10">
      <c r="A49" t="s">
        <v>157</v>
      </c>
      <c r="B49" s="10">
        <f>IF(ISNUMBER(SEARCH("niet van toepassing",J49))+ISNUMBER(SEARCH("buiten scope",J49))+ISNUMBER(SEARCH("nvt",J49)),"nvt",IF(Inputblad!C3&lt;2,"nvt",IF(D49=FALSE,0,IF((F49+H49)=0,1,IF((F49+H49)=2,2,3)))))</f>
        <v>0</v>
      </c>
      <c r="C49" t="s">
        <v>67</v>
      </c>
      <c r="D49" s="30" t="b">
        <v>0</v>
      </c>
      <c r="E49" s="9" t="s">
        <v>68</v>
      </c>
      <c r="F49" s="50" t="b">
        <v>0</v>
      </c>
      <c r="G49" s="9" t="s">
        <v>107</v>
      </c>
      <c r="H49" s="50" t="b">
        <v>0</v>
      </c>
      <c r="I49" t="str" cm="1">
        <f t="array" ref="I49">IF(B49="nvt","",_xlfn.IFS(B49="","",B49=0,"Motivatie waarom niet gecontroleerd/uitgevoerd:",B49&lt;=1,"Eventuele toelichting:",B49=2,"Toelichting op afwijking(en) en herstelactie(s):",B49=3,"Toelichting op afwijking(en), advies vervolgstappen:"))</f>
        <v>Motivatie waarom niet gecontroleerd/uitgevoerd:</v>
      </c>
      <c r="J49" s="29"/>
    </row>
    <row r="50" spans="1:10">
      <c r="A50" t="s">
        <v>158</v>
      </c>
      <c r="B50" s="10" t="str">
        <f>IF(ISNUMBER(SEARCH("niet van toepassing",J50))+ISNUMBER(SEARCH("buiten scope",J50))+ISNUMBER(SEARCH("nvt",J50)),"nvt",IF(Inputblad!B$24=1,IF(Inputblad!C$3&lt;2,"nvt",IF(D50=FALSE,0,IF((F50+H50)=0,1,IF((F50+H50)=2,2,3)))),"nvt"))</f>
        <v>nvt</v>
      </c>
      <c r="C50" t="s">
        <v>67</v>
      </c>
      <c r="D50" s="30" t="b">
        <v>0</v>
      </c>
      <c r="E50" s="9" t="s">
        <v>68</v>
      </c>
      <c r="F50" s="50" t="b">
        <v>0</v>
      </c>
      <c r="G50" s="9" t="s">
        <v>107</v>
      </c>
      <c r="H50" s="50" t="b">
        <v>0</v>
      </c>
      <c r="I50" t="str" cm="1">
        <f t="array" ref="I50">IF(B50="nvt","",_xlfn.IFS(B50="","",B50=0,"Motivatie waarom niet gecontroleerd/uitgevoerd:",B50&lt;=1,"Eventuele toelichting:",B50=2,"Toelichting op afwijking(en) en herstelactie(s):",B50=3,"Toelichting op afwijking(en), advies vervolgstappen:"))</f>
        <v/>
      </c>
      <c r="J50" s="29"/>
    </row>
    <row r="51" spans="1:10">
      <c r="A51" t="s">
        <v>161</v>
      </c>
      <c r="B51" s="10">
        <f>IF(ISNUMBER(SEARCH("niet van toepassing",J51))+ISNUMBER(SEARCH("buiten scope",J51))+ISNUMBER(SEARCH("nvt",J51)),"nvt",IF(Inputblad!C$3&lt;1,"nvt",IF(D51=FALSE,0,IF((F51+H51)=0,1,IF((F51+H51)=2,2,3)))))</f>
        <v>0</v>
      </c>
      <c r="C51" t="s">
        <v>67</v>
      </c>
      <c r="D51" s="30" t="b">
        <v>0</v>
      </c>
      <c r="E51" s="9" t="s">
        <v>68</v>
      </c>
      <c r="F51" s="50" t="b">
        <v>0</v>
      </c>
      <c r="G51" s="9" t="s">
        <v>107</v>
      </c>
      <c r="H51" s="50" t="b">
        <v>0</v>
      </c>
      <c r="I51" t="str" cm="1">
        <f t="array" ref="I51">IF(B51="nvt","",_xlfn.IFS(B51="","",B51=0,"Motivatie waarom niet gecontroleerd/uitgevoerd:",B51&lt;=1,"Eventuele toelichting:",B51=2,"Toelichting op afwijking(en) en herstelactie(s):",B51=3,"Toelichting op afwijking(en), advies vervolgstappen:"))</f>
        <v>Motivatie waarom niet gecontroleerd/uitgevoerd:</v>
      </c>
      <c r="J51" s="29"/>
    </row>
    <row r="52" spans="1:10">
      <c r="A52" t="s">
        <v>223</v>
      </c>
      <c r="B52" s="10">
        <f>IF(ISNUMBER(SEARCH("niet van toepassing",J52))+ISNUMBER(SEARCH("buiten scope",J52))+ISNUMBER(SEARCH("nvt",J52)),"nvt",IF(Inputblad!C$3&lt;1,"nvt",IF(D52=FALSE,0,IF((F52+H52)=0,1,IF((F52+H52)=2,2,3)))))</f>
        <v>0</v>
      </c>
      <c r="C52" t="s">
        <v>67</v>
      </c>
      <c r="D52" s="30" t="b">
        <v>0</v>
      </c>
      <c r="E52" s="9" t="s">
        <v>68</v>
      </c>
      <c r="F52" s="50" t="b">
        <v>0</v>
      </c>
      <c r="G52" s="9" t="s">
        <v>107</v>
      </c>
      <c r="H52" s="50" t="b">
        <v>0</v>
      </c>
      <c r="I52" t="str" cm="1">
        <f t="array" ref="I52">IF(B52="nvt","",_xlfn.IFS(B52="","",B52=0,"Motivatie waarom niet gecontroleerd/uitgevoerd:",B52&lt;=1,"Eventuele toelichting:",B52=2,"Toelichting op afwijking(en) en herstelactie(s):",B52=3,"Toelichting op afwijking(en), advies vervolgstappen:"))</f>
        <v>Motivatie waarom niet gecontroleerd/uitgevoerd:</v>
      </c>
      <c r="J52" s="29"/>
    </row>
    <row r="53" spans="1:10">
      <c r="A53" t="s">
        <v>224</v>
      </c>
      <c r="B53" s="10">
        <f>IF(ISNUMBER(SEARCH("niet van toepassing",J53))+ISNUMBER(SEARCH("buiten scope",J53))+ISNUMBER(SEARCH("nvt",J53)),"nvt",IF(Inputblad!C$3&lt;1,"nvt",IF(D53=FALSE,0,IF((F53+H53)=0,1,IF((F53+H53)=2,2,3)))))</f>
        <v>0</v>
      </c>
      <c r="C53" t="s">
        <v>67</v>
      </c>
      <c r="D53" s="30" t="b">
        <v>0</v>
      </c>
      <c r="E53" s="9" t="s">
        <v>68</v>
      </c>
      <c r="F53" s="50" t="b">
        <v>0</v>
      </c>
      <c r="G53" s="9" t="s">
        <v>107</v>
      </c>
      <c r="H53" s="50" t="b">
        <v>0</v>
      </c>
      <c r="I53" t="str" cm="1">
        <f t="array" ref="I53">IF(B53="nvt","",_xlfn.IFS(B53="","",B53=0,"Motivatie waarom niet gecontroleerd/uitgevoerd:",B53&lt;=1,"Eventuele toelichting:",B53=2,"Toelichting op afwijking(en) en herstelactie(s):",B53=3,"Toelichting op afwijking(en), advies vervolgstappen:"))</f>
        <v>Motivatie waarom niet gecontroleerd/uitgevoerd:</v>
      </c>
      <c r="J53" s="29"/>
    </row>
    <row r="54" spans="1:10">
      <c r="A54" t="s">
        <v>225</v>
      </c>
      <c r="B54" s="10">
        <f>IF(ISNUMBER(SEARCH("niet van toepassing",J54))+ISNUMBER(SEARCH("buiten scope",J54))+ISNUMBER(SEARCH("nvt",J54)),"nvt",IF(Inputblad!C$3&lt;1,"nvt",IF(D54=FALSE,0,IF((F54+H54)=0,1,IF((F54+H54)=2,2,3)))))</f>
        <v>0</v>
      </c>
      <c r="C54" t="s">
        <v>67</v>
      </c>
      <c r="D54" s="30" t="b">
        <v>0</v>
      </c>
      <c r="E54" s="9" t="s">
        <v>68</v>
      </c>
      <c r="F54" s="50" t="b">
        <v>0</v>
      </c>
      <c r="G54" s="9" t="s">
        <v>107</v>
      </c>
      <c r="H54" s="50"/>
      <c r="I54" t="str" cm="1">
        <f t="array" ref="I54">IF(B54="nvt","",_xlfn.IFS(B54="","",B54=0,"Motivatie waarom niet gecontroleerd/uitgevoerd:",B54&lt;=1,"Eventuele toelichting:",B54=2,"Toelichting op afwijking(en) en herstelactie(s):",B54=3,"Toelichting op afwijking(en), advies vervolgstappen:"))</f>
        <v>Motivatie waarom niet gecontroleerd/uitgevoerd:</v>
      </c>
      <c r="J54" s="29"/>
    </row>
    <row r="55" spans="1:10">
      <c r="A55" t="s">
        <v>162</v>
      </c>
      <c r="B55" s="10">
        <f>IF(ISNUMBER(SEARCH("niet van toepassing",J55))+ISNUMBER(SEARCH("buiten scope",J55))+ISNUMBER(SEARCH("nvt",J55)),"nvt",IF(Inputblad!C$3&lt;1,"nvt",IF(D55=FALSE,0,IF((F55+H55)=0,1,IF((F55+H55)=2,2,3)))))</f>
        <v>0</v>
      </c>
      <c r="C55" t="s">
        <v>21</v>
      </c>
      <c r="D55" s="30" t="b">
        <v>0</v>
      </c>
      <c r="E55" s="9" t="s">
        <v>68</v>
      </c>
      <c r="F55" s="50" t="b">
        <v>0</v>
      </c>
      <c r="G55" s="9" t="s">
        <v>107</v>
      </c>
      <c r="H55" s="50" t="b">
        <v>0</v>
      </c>
      <c r="I55" t="str" cm="1">
        <f t="array" ref="I55">IF(B55="nvt","",_xlfn.IFS(B55="","",B55=0,"Motivatie waarom niet gecontroleerd/uitgevoerd:",B55&lt;=1,"Eventuele toelichting:",B55=2,"Toelichting op afwijking(en) en herstelactie(s):",B55=3,"Toelichting op afwijking(en), advies vervolgstappen:"))</f>
        <v>Motivatie waarom niet gecontroleerd/uitgevoerd:</v>
      </c>
      <c r="J55" s="29"/>
    </row>
    <row r="56" spans="1:10">
      <c r="A56" t="s">
        <v>163</v>
      </c>
      <c r="B56" s="10">
        <f>IF(ISNUMBER(SEARCH("niet van toepassing",J56))+ISNUMBER(SEARCH("buiten scope",J56))+ISNUMBER(SEARCH("nvt",J56)),"nvt",IF(Inputblad!C$3&lt;1,"nvt",IF(D56=FALSE,0,IF((F56+H56)=0,1,IF((F56+H56)=2,2,3)))))</f>
        <v>0</v>
      </c>
      <c r="C56" t="s">
        <v>21</v>
      </c>
      <c r="D56" s="30" t="b">
        <v>0</v>
      </c>
      <c r="E56" s="9" t="s">
        <v>68</v>
      </c>
      <c r="F56" s="50" t="b">
        <v>0</v>
      </c>
      <c r="G56" s="9" t="s">
        <v>107</v>
      </c>
      <c r="H56" s="50" t="b">
        <v>0</v>
      </c>
      <c r="I56" t="str" cm="1">
        <f t="array" ref="I56">IF(B56="nvt","",_xlfn.IFS(B56="","",B56=0,"Motivatie waarom niet gecontroleerd/uitgevoerd:",B56&lt;=1,"Eventuele toelichting:",B56=2,"Toelichting op afwijking(en) en herstelactie(s):",B56=3,"Toelichting op afwijking(en), advies vervolgstappen:"))</f>
        <v>Motivatie waarom niet gecontroleerd/uitgevoerd:</v>
      </c>
      <c r="J56" s="29"/>
    </row>
    <row r="57" spans="1:10">
      <c r="A57" t="s">
        <v>165</v>
      </c>
      <c r="B57" s="10">
        <f>IF(ISNUMBER(SEARCH("niet van toepassing",J57))+ISNUMBER(SEARCH("buiten scope",J57))+ISNUMBER(SEARCH("nvt",J57)),"nvt",IF(Inputblad!C$3&lt;2,"nvt",IF(D57=FALSE,0,IF((F57+H57)=0,1,IF((F57+H57)=2,2,3)))))</f>
        <v>0</v>
      </c>
      <c r="C57" t="s">
        <v>67</v>
      </c>
      <c r="D57" s="30" t="b">
        <v>0</v>
      </c>
      <c r="E57" s="9" t="s">
        <v>68</v>
      </c>
      <c r="F57" s="50" t="b">
        <v>0</v>
      </c>
      <c r="G57" s="9" t="s">
        <v>107</v>
      </c>
      <c r="H57" s="50" t="b">
        <v>0</v>
      </c>
      <c r="I57" t="str" cm="1">
        <f t="array" ref="I57">IF(B57="nvt","",_xlfn.IFS(B57="","",B57=0,"Motivatie waarom niet gecontroleerd/uitgevoerd:",B57&lt;=1,"Eventuele toelichting:",B57=2,"Toelichting op afwijking(en) en herstelactie(s):",B57=3,"Toelichting op afwijking(en), advies vervolgstappen:"))</f>
        <v>Motivatie waarom niet gecontroleerd/uitgevoerd:</v>
      </c>
      <c r="J57" s="29"/>
    </row>
    <row r="58" spans="1:10">
      <c r="A58" t="s">
        <v>166</v>
      </c>
      <c r="B58" s="10">
        <f>IF(ISNUMBER(SEARCH("niet van toepassing",J58))+ISNUMBER(SEARCH("buiten scope",J58))+ISNUMBER(SEARCH("nvt",J58)),"nvt",IF(Inputblad!C$3&lt;1,"nvt",IF(D58=FALSE,0,IF((F58+H58)=0,1,IF((F58+H58)=2,2,3)))))</f>
        <v>0</v>
      </c>
      <c r="C58" t="s">
        <v>67</v>
      </c>
      <c r="D58" s="30" t="b">
        <v>0</v>
      </c>
      <c r="E58" s="9" t="s">
        <v>68</v>
      </c>
      <c r="F58" s="50" t="b">
        <v>0</v>
      </c>
      <c r="G58" s="9" t="s">
        <v>107</v>
      </c>
      <c r="H58" s="50" t="b">
        <v>0</v>
      </c>
      <c r="I58" t="str" cm="1">
        <f t="array" ref="I58">IF(B58="nvt","",_xlfn.IFS(B58="","",B58=0,"Motivatie waarom niet gecontroleerd/uitgevoerd:",B58&lt;=1,"Eventuele toelichting:",B58=2,"Toelichting op afwijking(en) en herstelactie(s):",B58=3,"Toelichting op afwijking(en), advies vervolgstappen:"))</f>
        <v>Motivatie waarom niet gecontroleerd/uitgevoerd:</v>
      </c>
      <c r="J58" s="29"/>
    </row>
    <row r="59" spans="1:10">
      <c r="A59" t="s">
        <v>156</v>
      </c>
      <c r="B59" s="10">
        <f>IF(ISNUMBER(SEARCH("niet van toepassing",J59))+ISNUMBER(SEARCH("buiten scope",J59))+ISNUMBER(SEARCH("nvt",J59)),"nvt",IF(Inputblad!C$3&lt;3,"nvt",IF(D59=FALSE,0,IF((F59+H59)=0,1,IF((F59+H59)=2,2,3)))))</f>
        <v>0</v>
      </c>
      <c r="C59" t="s">
        <v>67</v>
      </c>
      <c r="D59" s="30" t="b">
        <v>0</v>
      </c>
      <c r="E59" s="9" t="s">
        <v>68</v>
      </c>
      <c r="F59" s="50" t="b">
        <v>0</v>
      </c>
      <c r="G59" s="9" t="s">
        <v>107</v>
      </c>
      <c r="H59" s="50" t="b">
        <v>0</v>
      </c>
      <c r="I59" t="str" cm="1">
        <f t="array" ref="I59">IF(B59="nvt","",_xlfn.IFS(B59="","",B59=0,"Motivatie waarom niet gecontroleerd/uitgevoerd:",B59&lt;=1,"Eventuele toelichting:",B59=2,"Toelichting op afwijking(en) en herstelactie(s):",B59=3,"Toelichting op afwijking(en), advies vervolgstappen:"))</f>
        <v>Motivatie waarom niet gecontroleerd/uitgevoerd:</v>
      </c>
      <c r="J59" s="29"/>
    </row>
    <row r="60" spans="1:10">
      <c r="A60" t="s">
        <v>218</v>
      </c>
      <c r="B60" s="10">
        <f>IF(ISNUMBER(SEARCH("niet van toepassing",J60))+ISNUMBER(SEARCH("buiten scope",J60))+ISNUMBER(SEARCH("nvt",J60)),"nvt",IF(Inputblad!C$3&lt;3,"nvt",IF(D60=FALSE,0,IF((F60+H60)=0,1,IF((F60+H60)=2,2,3)))))</f>
        <v>0</v>
      </c>
      <c r="C60" t="s">
        <v>67</v>
      </c>
      <c r="D60" s="30" t="b">
        <v>0</v>
      </c>
      <c r="E60" s="9" t="s">
        <v>68</v>
      </c>
      <c r="F60" s="50" t="b">
        <v>0</v>
      </c>
      <c r="G60" s="9" t="s">
        <v>107</v>
      </c>
      <c r="H60" s="50" t="b">
        <v>0</v>
      </c>
      <c r="I60" t="str" cm="1">
        <f t="array" ref="I60">IF(B60="nvt","",_xlfn.IFS(B60="","",B60=0,"Motivatie waarom niet gecontroleerd/uitgevoerd:",B60&lt;=1,"Eventuele toelichting:",B60=2,"Toelichting op afwijking(en) en herstelactie(s):",B60=3,"Toelichting op afwijking(en), advies vervolgstappen:"))</f>
        <v>Motivatie waarom niet gecontroleerd/uitgevoerd:</v>
      </c>
      <c r="J60" s="29"/>
    </row>
    <row r="61" spans="1:10">
      <c r="A61" t="s">
        <v>219</v>
      </c>
      <c r="B61" s="10">
        <f>IF(ISNUMBER(SEARCH("niet van toepassing",J61))+ISNUMBER(SEARCH("buiten scope",J61))+ISNUMBER(SEARCH("nvt",J61)),"nvt",IF(Inputblad!C$3&lt;2,"nvt",IF(D61=FALSE,0,IF((F61+H61)=0,1,IF((F61+H61)=2,2,3)))))</f>
        <v>0</v>
      </c>
      <c r="C61" t="s">
        <v>67</v>
      </c>
      <c r="D61" s="30" t="b">
        <v>0</v>
      </c>
      <c r="E61" s="9" t="s">
        <v>68</v>
      </c>
      <c r="F61" s="50" t="b">
        <v>0</v>
      </c>
      <c r="G61" s="9" t="s">
        <v>107</v>
      </c>
      <c r="H61" s="50" t="b">
        <v>0</v>
      </c>
      <c r="I61" t="str" cm="1">
        <f t="array" ref="I61">IF(B61="nvt","",_xlfn.IFS(B61="","",B61=0,"Motivatie waarom niet gecontroleerd/uitgevoerd:",B61&lt;=1,"Eventuele toelichting:",B61=2,"Toelichting op afwijking(en) en herstelactie(s):",B61=3,"Toelichting op afwijking(en), advies vervolgstappen:"))</f>
        <v>Motivatie waarom niet gecontroleerd/uitgevoerd:</v>
      </c>
      <c r="J61" s="29"/>
    </row>
    <row r="62" spans="1:10">
      <c r="A62" t="s">
        <v>214</v>
      </c>
      <c r="B62" s="10" t="str">
        <f>IF(ISNUMBER(SEARCH("niet van toepassing",J62))+ISNUMBER(SEARCH("buiten scope",J62))+ISNUMBER(SEARCH("nvt",J62)),"nvt",IF(Inputblad!B$24=1,IF(Inputblad!C$3&lt;3,"nvt",IF(D62=FALSE,0,IF((F62+H62)=0,1,IF((F62+H62)=2,2,3)))),"nvt"))</f>
        <v>nvt</v>
      </c>
      <c r="C62" t="s">
        <v>67</v>
      </c>
      <c r="D62" s="30" t="b">
        <v>0</v>
      </c>
      <c r="E62" s="9" t="s">
        <v>68</v>
      </c>
      <c r="F62" s="50" t="b">
        <v>0</v>
      </c>
      <c r="G62" s="9" t="s">
        <v>107</v>
      </c>
      <c r="H62" s="50" t="b">
        <v>0</v>
      </c>
      <c r="I62" t="str" cm="1">
        <f t="array" ref="I62">IF(B62="nvt","",_xlfn.IFS(B62="","",B62=0,"Motivatie waarom niet gecontroleerd/uitgevoerd:",B62&lt;=1,"Eventuele toelichting:",B62=2,"Toelichting op afwijking(en) en herstelactie(s):",B62=3,"Toelichting op afwijking(en), advies vervolgstappen:"))</f>
        <v/>
      </c>
      <c r="J62" s="29"/>
    </row>
    <row r="63" spans="1:10">
      <c r="A63" t="s">
        <v>215</v>
      </c>
      <c r="B63" s="10">
        <f>IF(ISNUMBER(SEARCH("niet van toepassing",J63))+ISNUMBER(SEARCH("buiten scope",J63))+ISNUMBER(SEARCH("nvt",J63)),"nvt",IF(Inputblad!C$3&lt;3,"nvt",IF(D63=FALSE,0,IF((F63+H63)=0,1,IF((F63+H63)=2,2,3)))))</f>
        <v>0</v>
      </c>
      <c r="C63" t="s">
        <v>67</v>
      </c>
      <c r="D63" s="30" t="b">
        <v>0</v>
      </c>
      <c r="E63" s="9" t="s">
        <v>68</v>
      </c>
      <c r="F63" s="50" t="b">
        <v>0</v>
      </c>
      <c r="G63" s="9" t="s">
        <v>107</v>
      </c>
      <c r="H63" s="50" t="b">
        <v>0</v>
      </c>
      <c r="I63" t="str" cm="1">
        <f t="array" ref="I63">IF(B63="nvt","",_xlfn.IFS(B63="","",B63=0,"Motivatie waarom niet gecontroleerd/uitgevoerd:",B63&lt;=1,"Eventuele toelichting:",B63=2,"Toelichting op afwijking(en) en herstelactie(s):",B63=3,"Toelichting op afwijking(en), advies vervolgstappen:"))</f>
        <v>Motivatie waarom niet gecontroleerd/uitgevoerd:</v>
      </c>
      <c r="J63" s="29"/>
    </row>
    <row r="64" spans="1:10">
      <c r="A64" t="s">
        <v>217</v>
      </c>
      <c r="B64" s="10">
        <f>IF(ISNUMBER(SEARCH("niet van toepassing",J64))+ISNUMBER(SEARCH("buiten scope",J64))+ISNUMBER(SEARCH("nvt",J64)),"nvt",IF(Inputblad!C$3&lt;3,"nvt",IF(D64=FALSE,0,IF((F64+H64)=0,1,IF((F64+H64)=2,2,3)))))</f>
        <v>0</v>
      </c>
      <c r="C64" t="s">
        <v>67</v>
      </c>
      <c r="D64" s="30" t="b">
        <v>0</v>
      </c>
      <c r="E64" s="9" t="s">
        <v>68</v>
      </c>
      <c r="F64" s="50" t="b">
        <v>0</v>
      </c>
      <c r="G64" s="9" t="s">
        <v>107</v>
      </c>
      <c r="H64" s="50" t="b">
        <v>0</v>
      </c>
      <c r="I64" t="str" cm="1">
        <f t="array" ref="I64">IF(B64="nvt","",_xlfn.IFS(B64="","",B64=0,"Motivatie waarom niet gecontroleerd/uitgevoerd:",B64&lt;=1,"Eventuele toelichting:",B64=2,"Toelichting op afwijking(en) en herstelactie(s):",B64=3,"Toelichting op afwijking(en), advies vervolgstappen:"))</f>
        <v>Motivatie waarom niet gecontroleerd/uitgevoerd:</v>
      </c>
      <c r="J64" s="29"/>
    </row>
    <row r="65" spans="1:10">
      <c r="A65" t="s">
        <v>173</v>
      </c>
      <c r="B65" s="10">
        <f>IF(ISNUMBER(SEARCH("niet van toepassing",J65))+ISNUMBER(SEARCH("buiten scope",J65))+ISNUMBER(SEARCH("nvt",J65)),"nvt",IF(Inputblad!C$3&lt;3,"nvt",IF(D65=FALSE,0,IF((F65+H65)=0,1,IF((F65+H65)=2,2,3)))))</f>
        <v>0</v>
      </c>
      <c r="C65" t="s">
        <v>21</v>
      </c>
      <c r="D65" s="30" t="b">
        <v>0</v>
      </c>
      <c r="E65" s="9" t="s">
        <v>68</v>
      </c>
      <c r="F65" s="50" t="b">
        <v>0</v>
      </c>
      <c r="G65" s="9" t="s">
        <v>107</v>
      </c>
      <c r="H65" s="50" t="b">
        <v>0</v>
      </c>
      <c r="I65" t="str" cm="1">
        <f t="array" ref="I65">IF(B65="nvt","",_xlfn.IFS(B65="","",B65=0,"Motivatie waarom niet gecontroleerd/uitgevoerd:",B65&lt;=1,"Eventuele toelichting:",B65=2,"Toelichting op afwijking(en) en herstelactie(s):",B65=3,"Toelichting op afwijking(en), advies vervolgstappen:"))</f>
        <v>Motivatie waarom niet gecontroleerd/uitgevoerd:</v>
      </c>
      <c r="J65" s="29"/>
    </row>
    <row r="66" spans="1:10">
      <c r="A66" t="s">
        <v>213</v>
      </c>
      <c r="B66" s="10">
        <f>IF(ISNUMBER(SEARCH("niet van toepassing",J66))+ISNUMBER(SEARCH("buiten scope",J66))+ISNUMBER(SEARCH("nvt",J66)),"nvt",IF(Inputblad!C$3&lt;3,"nvt",IF(D66=FALSE,0,IF((F66+H66)=0,1,IF((F66+H66)=2,2,3)))))</f>
        <v>0</v>
      </c>
      <c r="C66" t="s">
        <v>21</v>
      </c>
      <c r="D66" s="30" t="b">
        <v>0</v>
      </c>
      <c r="E66" s="9" t="s">
        <v>68</v>
      </c>
      <c r="F66" s="50" t="b">
        <v>0</v>
      </c>
      <c r="G66" s="9" t="s">
        <v>107</v>
      </c>
      <c r="H66" s="50" t="b">
        <v>0</v>
      </c>
      <c r="I66" t="str" cm="1">
        <f t="array" ref="I66">IF(B66="nvt","",_xlfn.IFS(B66="","",B66=0,"Motivatie waarom niet gecontroleerd/uitgevoerd:",B66&lt;=1,"Eventuele toelichting:",B66=2,"Toelichting op afwijking(en) en herstelactie(s):",B66=3,"Toelichting op afwijking(en), advies vervolgstappen:"))</f>
        <v>Motivatie waarom niet gecontroleerd/uitgevoerd:</v>
      </c>
      <c r="J66" s="29"/>
    </row>
    <row r="67" spans="1:10">
      <c r="A67" t="s">
        <v>155</v>
      </c>
      <c r="B67" s="10">
        <f>IF(ISNUMBER(SEARCH("niet van toepassing",J67))+ISNUMBER(SEARCH("buiten scope",J67))+ISNUMBER(SEARCH("nvt",J67)),"nvt",IF(Inputblad!C$3&lt;3,"nvt",IF(D67=FALSE,0,IF((F67+H67)=0,1,IF((F67+H67)=2,2,3)))))</f>
        <v>0</v>
      </c>
      <c r="C67" t="s">
        <v>67</v>
      </c>
      <c r="D67" s="30" t="b">
        <v>0</v>
      </c>
      <c r="E67" s="9" t="s">
        <v>68</v>
      </c>
      <c r="F67" s="50" t="b">
        <v>0</v>
      </c>
      <c r="G67" s="9" t="s">
        <v>107</v>
      </c>
      <c r="H67" s="50" t="b">
        <v>0</v>
      </c>
      <c r="I67" t="str" cm="1">
        <f t="array" ref="I67">IF(B67="nvt","",_xlfn.IFS(B67="","",B67=0,"Motivatie waarom niet gecontroleerd/uitgevoerd:",B67&lt;=1,"Eventuele toelichting:",B67=2,"Toelichting op afwijking(en) en herstelactie(s):",B67=3,"Toelichting op afwijking(en), advies vervolgstappen:"))</f>
        <v>Motivatie waarom niet gecontroleerd/uitgevoerd:</v>
      </c>
      <c r="J67" s="29"/>
    </row>
    <row r="69" spans="1:10">
      <c r="A69" s="7" t="s">
        <v>226</v>
      </c>
      <c r="B69" s="16" t="str">
        <f>IF(Inputblad!C3&lt;1,"nvt",IF(COUNTIF(B70:B72,"nvt")=3,"nvt",(COUNTA(B70:B72)-COUNTIF(B70:B72,0)-COUNTIF(B70:B72,"nvt"))/(COUNTA(B70:B72)-COUNTIF(B70:B72,"nvt"))))</f>
        <v>nvt</v>
      </c>
      <c r="C69" s="7" t="str">
        <f>IF(B69="nvt","","uitgevoerd")</f>
        <v/>
      </c>
      <c r="E69" s="9" t="str">
        <f>IF(B69="nvt","","Geconstateerde afwijkingen:")</f>
        <v/>
      </c>
      <c r="F69" s="49" t="str">
        <f>IF(B69="nvt","",COUNTIF(F70:F72,TRUE))</f>
        <v/>
      </c>
      <c r="G69" t="str">
        <f>IF(B69="nvt","","en direct hersteld:")</f>
        <v/>
      </c>
      <c r="H69" s="8" t="str">
        <f>IF(B69="nvt","",COUNTIF(H70:H72,TRUE))</f>
        <v/>
      </c>
    </row>
    <row r="70" spans="1:10">
      <c r="A70" s="29" t="s">
        <v>227</v>
      </c>
      <c r="B70" s="10" t="str">
        <f>IF(A70="VRIJ IN TE VULLEN","nvt",IF(D70=FALSE,0,IF((F70+H70)=0,1,IF((F70+H70)=2,2,3))))</f>
        <v>nvt</v>
      </c>
      <c r="C70" t="s">
        <v>67</v>
      </c>
      <c r="D70" s="30" t="b">
        <v>0</v>
      </c>
      <c r="E70" s="9" t="s">
        <v>68</v>
      </c>
      <c r="F70" s="50" t="b">
        <v>0</v>
      </c>
      <c r="G70" s="9" t="s">
        <v>107</v>
      </c>
      <c r="H70" s="50" t="b">
        <v>0</v>
      </c>
      <c r="I70" t="str" cm="1">
        <f t="array" ref="I70">IF(B70="nvt","",_xlfn.IFS(B70="","",B70=0,"Motivatie waarom niet gecontroleerd/uitgevoerd:",B70&lt;=1,"Eventuele toelichting:",B70=2,"Toelichting op afwijking(en) en herstelactie(s):",B70=3,"Toelichting op afwijking(en), advies vervolgstappen:"))</f>
        <v/>
      </c>
      <c r="J70" s="29"/>
    </row>
    <row r="71" spans="1:10">
      <c r="A71" s="29" t="s">
        <v>227</v>
      </c>
      <c r="B71" s="10" t="str">
        <f t="shared" ref="B71:B72" si="0">IF(A71="VRIJ IN TE VULLEN","nvt",IF(D71=FALSE,0,IF((F71+H71)=0,1,IF((F71+H71)=2,2,3))))</f>
        <v>nvt</v>
      </c>
      <c r="C71" t="s">
        <v>67</v>
      </c>
      <c r="D71" s="30" t="b">
        <v>0</v>
      </c>
      <c r="E71" s="9" t="s">
        <v>68</v>
      </c>
      <c r="F71" s="50" t="b">
        <v>0</v>
      </c>
      <c r="G71" s="9" t="s">
        <v>107</v>
      </c>
      <c r="H71" s="50" t="b">
        <v>0</v>
      </c>
      <c r="I71" t="str" cm="1">
        <f t="array" ref="I71">IF(B71="nvt","",_xlfn.IFS(B71="","",B71=0,"Motivatie waarom niet gecontroleerd/uitgevoerd:",B71&lt;=1,"Eventuele toelichting:",B71=2,"Toelichting op afwijking(en) en herstelactie(s):",B71=3,"Toelichting op afwijking(en), advies vervolgstappen:"))</f>
        <v/>
      </c>
      <c r="J71" s="29"/>
    </row>
    <row r="72" spans="1:10">
      <c r="A72" s="29" t="s">
        <v>227</v>
      </c>
      <c r="B72" s="10" t="str">
        <f t="shared" si="0"/>
        <v>nvt</v>
      </c>
      <c r="C72" t="s">
        <v>67</v>
      </c>
      <c r="D72" s="30" t="b">
        <v>0</v>
      </c>
      <c r="E72" s="9" t="s">
        <v>68</v>
      </c>
      <c r="F72" s="50" t="b">
        <v>0</v>
      </c>
      <c r="G72" s="9" t="s">
        <v>107</v>
      </c>
      <c r="H72" s="50" t="b">
        <v>0</v>
      </c>
      <c r="I72" t="str" cm="1">
        <f t="array" ref="I72">IF(B72="nvt","",_xlfn.IFS(B72="","",B72=0,"Motivatie waarom niet gecontroleerd/uitgevoerd:",B72&lt;=1,"Eventuele toelichting:",B72=2,"Toelichting op afwijking(en) en herstelactie(s):",B72=3,"Toelichting op afwijking(en), advies vervolgstappen:"))</f>
        <v/>
      </c>
      <c r="J72" s="29"/>
    </row>
    <row r="73" spans="1:10">
      <c r="D73" s="30"/>
      <c r="E73" s="9"/>
      <c r="F73" s="50"/>
      <c r="G73" s="9"/>
      <c r="H73" s="50"/>
    </row>
    <row r="75" spans="1:10">
      <c r="A75" s="48" t="s">
        <v>221</v>
      </c>
    </row>
    <row r="77" spans="1:10">
      <c r="A77" s="48" t="s">
        <v>233</v>
      </c>
    </row>
  </sheetData>
  <sheetProtection sheet="1" selectLockedCells="1"/>
  <conditionalFormatting sqref="B70:B72">
    <cfRule type="colorScale" priority="101">
      <colorScale>
        <cfvo type="num" val="1"/>
        <cfvo type="num" val="2"/>
        <cfvo type="num" val="3"/>
        <color rgb="FF92D050"/>
        <color rgb="FFFFC000"/>
        <color rgb="FFFF0000"/>
      </colorScale>
    </cfRule>
  </conditionalFormatting>
  <conditionalFormatting sqref="B70:B72">
    <cfRule type="cellIs" dxfId="25" priority="100" operator="equal">
      <formula>0</formula>
    </cfRule>
  </conditionalFormatting>
  <conditionalFormatting sqref="B69">
    <cfRule type="dataBar" priority="99">
      <dataBar>
        <cfvo type="num" val="0"/>
        <cfvo type="num" val="1"/>
        <color rgb="FF63C384"/>
      </dataBar>
      <extLst>
        <ext xmlns:x14="http://schemas.microsoft.com/office/spreadsheetml/2009/9/main" uri="{B025F937-C7B1-47D3-B67F-A62EFF666E3E}">
          <x14:id>{DF13C6D2-6FE2-4A56-A056-CC8AD343E233}</x14:id>
        </ext>
      </extLst>
    </cfRule>
  </conditionalFormatting>
  <conditionalFormatting sqref="B1">
    <cfRule type="dataBar" priority="89">
      <dataBar>
        <cfvo type="num" val="0"/>
        <cfvo type="num" val="1"/>
        <color rgb="FF63C384"/>
      </dataBar>
      <extLst>
        <ext xmlns:x14="http://schemas.microsoft.com/office/spreadsheetml/2009/9/main" uri="{B025F937-C7B1-47D3-B67F-A62EFF666E3E}">
          <x14:id>{7E02570C-025F-460D-AAFB-484CADD4C164}</x14:id>
        </ext>
      </extLst>
    </cfRule>
  </conditionalFormatting>
  <conditionalFormatting sqref="B20:B22 B25:B26">
    <cfRule type="colorScale" priority="44">
      <colorScale>
        <cfvo type="num" val="1"/>
        <cfvo type="num" val="2"/>
        <cfvo type="num" val="3"/>
        <color rgb="FF92D050"/>
        <color rgb="FFFFC000"/>
        <color rgb="FFFF0000"/>
      </colorScale>
    </cfRule>
  </conditionalFormatting>
  <conditionalFormatting sqref="B20:B22 B25:B26">
    <cfRule type="cellIs" dxfId="24" priority="43" operator="equal">
      <formula>0</formula>
    </cfRule>
  </conditionalFormatting>
  <conditionalFormatting sqref="B19">
    <cfRule type="dataBar" priority="42">
      <dataBar>
        <cfvo type="num" val="0"/>
        <cfvo type="num" val="1"/>
        <color rgb="FF63C384"/>
      </dataBar>
      <extLst>
        <ext xmlns:x14="http://schemas.microsoft.com/office/spreadsheetml/2009/9/main" uri="{B025F937-C7B1-47D3-B67F-A62EFF666E3E}">
          <x14:id>{0140499F-D578-4888-BC86-D256743F97B1}</x14:id>
        </ext>
      </extLst>
    </cfRule>
  </conditionalFormatting>
  <conditionalFormatting sqref="B23:B24">
    <cfRule type="colorScale" priority="41">
      <colorScale>
        <cfvo type="num" val="1"/>
        <cfvo type="num" val="2"/>
        <cfvo type="num" val="3"/>
        <color rgb="FF92D050"/>
        <color rgb="FFFFC000"/>
        <color rgb="FFFF0000"/>
      </colorScale>
    </cfRule>
  </conditionalFormatting>
  <conditionalFormatting sqref="B23:B24">
    <cfRule type="cellIs" dxfId="23" priority="40" operator="equal">
      <formula>0</formula>
    </cfRule>
  </conditionalFormatting>
  <conditionalFormatting sqref="B30:B31">
    <cfRule type="colorScale" priority="39">
      <colorScale>
        <cfvo type="num" val="1"/>
        <cfvo type="num" val="2"/>
        <cfvo type="num" val="3"/>
        <color rgb="FF92D050"/>
        <color rgb="FFFFC000"/>
        <color rgb="FFFF0000"/>
      </colorScale>
    </cfRule>
  </conditionalFormatting>
  <conditionalFormatting sqref="B30:B31">
    <cfRule type="cellIs" dxfId="22" priority="38" operator="equal">
      <formula>0</formula>
    </cfRule>
  </conditionalFormatting>
  <conditionalFormatting sqref="B28">
    <cfRule type="dataBar" priority="37">
      <dataBar>
        <cfvo type="num" val="0"/>
        <cfvo type="num" val="1"/>
        <color rgb="FF63C384"/>
      </dataBar>
      <extLst>
        <ext xmlns:x14="http://schemas.microsoft.com/office/spreadsheetml/2009/9/main" uri="{B025F937-C7B1-47D3-B67F-A62EFF666E3E}">
          <x14:id>{0DC83549-DD79-4D5B-B793-DFD6D9D3DD6B}</x14:id>
        </ext>
      </extLst>
    </cfRule>
  </conditionalFormatting>
  <conditionalFormatting sqref="B29">
    <cfRule type="colorScale" priority="36">
      <colorScale>
        <cfvo type="num" val="1"/>
        <cfvo type="num" val="2"/>
        <cfvo type="num" val="3"/>
        <color rgb="FF92D050"/>
        <color rgb="FFFFC000"/>
        <color rgb="FFFF0000"/>
      </colorScale>
    </cfRule>
  </conditionalFormatting>
  <conditionalFormatting sqref="B29">
    <cfRule type="cellIs" dxfId="21" priority="35" operator="equal">
      <formula>0</formula>
    </cfRule>
  </conditionalFormatting>
  <conditionalFormatting sqref="B32">
    <cfRule type="colorScale" priority="34">
      <colorScale>
        <cfvo type="num" val="1"/>
        <cfvo type="num" val="2"/>
        <cfvo type="num" val="3"/>
        <color rgb="FF92D050"/>
        <color rgb="FFFFC000"/>
        <color rgb="FFFF0000"/>
      </colorScale>
    </cfRule>
  </conditionalFormatting>
  <conditionalFormatting sqref="B32">
    <cfRule type="cellIs" dxfId="20" priority="33" operator="equal">
      <formula>0</formula>
    </cfRule>
  </conditionalFormatting>
  <conditionalFormatting sqref="B35:B39">
    <cfRule type="colorScale" priority="32">
      <colorScale>
        <cfvo type="num" val="1"/>
        <cfvo type="num" val="2"/>
        <cfvo type="num" val="3"/>
        <color rgb="FF92D050"/>
        <color rgb="FFFFC000"/>
        <color rgb="FFFF0000"/>
      </colorScale>
    </cfRule>
  </conditionalFormatting>
  <conditionalFormatting sqref="B35:B39">
    <cfRule type="cellIs" dxfId="19" priority="31" operator="equal">
      <formula>0</formula>
    </cfRule>
  </conditionalFormatting>
  <conditionalFormatting sqref="B40">
    <cfRule type="colorScale" priority="30">
      <colorScale>
        <cfvo type="num" val="1"/>
        <cfvo type="num" val="2"/>
        <cfvo type="num" val="3"/>
        <color rgb="FF92D050"/>
        <color rgb="FFFFC000"/>
        <color rgb="FFFF0000"/>
      </colorScale>
    </cfRule>
  </conditionalFormatting>
  <conditionalFormatting sqref="B40">
    <cfRule type="cellIs" dxfId="18" priority="29" operator="equal">
      <formula>0</formula>
    </cfRule>
  </conditionalFormatting>
  <conditionalFormatting sqref="B42:B44">
    <cfRule type="colorScale" priority="28">
      <colorScale>
        <cfvo type="num" val="1"/>
        <cfvo type="num" val="2"/>
        <cfvo type="num" val="3"/>
        <color rgb="FF92D050"/>
        <color rgb="FFFFC000"/>
        <color rgb="FFFF0000"/>
      </colorScale>
    </cfRule>
  </conditionalFormatting>
  <conditionalFormatting sqref="B42:B44">
    <cfRule type="cellIs" dxfId="17" priority="27" operator="equal">
      <formula>0</formula>
    </cfRule>
  </conditionalFormatting>
  <conditionalFormatting sqref="B34">
    <cfRule type="dataBar" priority="26">
      <dataBar>
        <cfvo type="num" val="0"/>
        <cfvo type="num" val="1"/>
        <color rgb="FF63C384"/>
      </dataBar>
      <extLst>
        <ext xmlns:x14="http://schemas.microsoft.com/office/spreadsheetml/2009/9/main" uri="{B025F937-C7B1-47D3-B67F-A62EFF666E3E}">
          <x14:id>{528A6E60-CF66-46CA-8564-AFD038E94AD6}</x14:id>
        </ext>
      </extLst>
    </cfRule>
  </conditionalFormatting>
  <conditionalFormatting sqref="B41">
    <cfRule type="colorScale" priority="25">
      <colorScale>
        <cfvo type="num" val="1"/>
        <cfvo type="num" val="2"/>
        <cfvo type="num" val="3"/>
        <color rgb="FF92D050"/>
        <color rgb="FFFFC000"/>
        <color rgb="FFFF0000"/>
      </colorScale>
    </cfRule>
  </conditionalFormatting>
  <conditionalFormatting sqref="B41">
    <cfRule type="cellIs" dxfId="16" priority="24" operator="equal">
      <formula>0</formula>
    </cfRule>
  </conditionalFormatting>
  <conditionalFormatting sqref="B47">
    <cfRule type="colorScale" priority="23">
      <colorScale>
        <cfvo type="num" val="1"/>
        <cfvo type="num" val="2"/>
        <cfvo type="num" val="3"/>
        <color rgb="FF92D050"/>
        <color rgb="FFFFC000"/>
        <color rgb="FFFF0000"/>
      </colorScale>
    </cfRule>
  </conditionalFormatting>
  <conditionalFormatting sqref="B47">
    <cfRule type="cellIs" dxfId="15" priority="22" operator="equal">
      <formula>0</formula>
    </cfRule>
  </conditionalFormatting>
  <conditionalFormatting sqref="B49">
    <cfRule type="colorScale" priority="21">
      <colorScale>
        <cfvo type="num" val="1"/>
        <cfvo type="num" val="2"/>
        <cfvo type="num" val="3"/>
        <color rgb="FF92D050"/>
        <color rgb="FFFFC000"/>
        <color rgb="FFFF0000"/>
      </colorScale>
    </cfRule>
  </conditionalFormatting>
  <conditionalFormatting sqref="B49">
    <cfRule type="cellIs" dxfId="14" priority="20" operator="equal">
      <formula>0</formula>
    </cfRule>
  </conditionalFormatting>
  <conditionalFormatting sqref="B51:B61">
    <cfRule type="colorScale" priority="19">
      <colorScale>
        <cfvo type="num" val="1"/>
        <cfvo type="num" val="2"/>
        <cfvo type="num" val="3"/>
        <color rgb="FF92D050"/>
        <color rgb="FFFFC000"/>
        <color rgb="FFFF0000"/>
      </colorScale>
    </cfRule>
  </conditionalFormatting>
  <conditionalFormatting sqref="B51:B61">
    <cfRule type="cellIs" dxfId="13" priority="18" operator="equal">
      <formula>0</formula>
    </cfRule>
  </conditionalFormatting>
  <conditionalFormatting sqref="B62">
    <cfRule type="colorScale" priority="17">
      <colorScale>
        <cfvo type="num" val="1"/>
        <cfvo type="num" val="2"/>
        <cfvo type="num" val="3"/>
        <color rgb="FF92D050"/>
        <color rgb="FFFFC000"/>
        <color rgb="FFFF0000"/>
      </colorScale>
    </cfRule>
  </conditionalFormatting>
  <conditionalFormatting sqref="B62">
    <cfRule type="cellIs" dxfId="12" priority="16" operator="equal">
      <formula>0</formula>
    </cfRule>
  </conditionalFormatting>
  <conditionalFormatting sqref="B46">
    <cfRule type="dataBar" priority="15">
      <dataBar>
        <cfvo type="num" val="0"/>
        <cfvo type="num" val="1"/>
        <color rgb="FF63C384"/>
      </dataBar>
      <extLst>
        <ext xmlns:x14="http://schemas.microsoft.com/office/spreadsheetml/2009/9/main" uri="{B025F937-C7B1-47D3-B67F-A62EFF666E3E}">
          <x14:id>{C8EEAAF5-922A-4CE7-8714-824B640C9771}</x14:id>
        </ext>
      </extLst>
    </cfRule>
  </conditionalFormatting>
  <conditionalFormatting sqref="B48">
    <cfRule type="colorScale" priority="14">
      <colorScale>
        <cfvo type="num" val="1"/>
        <cfvo type="num" val="2"/>
        <cfvo type="num" val="3"/>
        <color rgb="FF92D050"/>
        <color rgb="FFFFC000"/>
        <color rgb="FFFF0000"/>
      </colorScale>
    </cfRule>
  </conditionalFormatting>
  <conditionalFormatting sqref="B48">
    <cfRule type="cellIs" dxfId="11" priority="13" operator="equal">
      <formula>0</formula>
    </cfRule>
  </conditionalFormatting>
  <conditionalFormatting sqref="B50">
    <cfRule type="colorScale" priority="12">
      <colorScale>
        <cfvo type="num" val="1"/>
        <cfvo type="num" val="2"/>
        <cfvo type="num" val="3"/>
        <color rgb="FF92D050"/>
        <color rgb="FFFFC000"/>
        <color rgb="FFFF0000"/>
      </colorScale>
    </cfRule>
  </conditionalFormatting>
  <conditionalFormatting sqref="B50">
    <cfRule type="cellIs" dxfId="10" priority="11" operator="equal">
      <formula>0</formula>
    </cfRule>
  </conditionalFormatting>
  <conditionalFormatting sqref="B63">
    <cfRule type="colorScale" priority="10">
      <colorScale>
        <cfvo type="num" val="1"/>
        <cfvo type="num" val="2"/>
        <cfvo type="num" val="3"/>
        <color rgb="FF92D050"/>
        <color rgb="FFFFC000"/>
        <color rgb="FFFF0000"/>
      </colorScale>
    </cfRule>
  </conditionalFormatting>
  <conditionalFormatting sqref="B63">
    <cfRule type="cellIs" dxfId="9" priority="9" operator="equal">
      <formula>0</formula>
    </cfRule>
  </conditionalFormatting>
  <conditionalFormatting sqref="B64">
    <cfRule type="colorScale" priority="8">
      <colorScale>
        <cfvo type="num" val="1"/>
        <cfvo type="num" val="2"/>
        <cfvo type="num" val="3"/>
        <color rgb="FF92D050"/>
        <color rgb="FFFFC000"/>
        <color rgb="FFFF0000"/>
      </colorScale>
    </cfRule>
  </conditionalFormatting>
  <conditionalFormatting sqref="B64">
    <cfRule type="cellIs" dxfId="8" priority="7" operator="equal">
      <formula>0</formula>
    </cfRule>
  </conditionalFormatting>
  <conditionalFormatting sqref="B65">
    <cfRule type="colorScale" priority="6">
      <colorScale>
        <cfvo type="num" val="1"/>
        <cfvo type="num" val="2"/>
        <cfvo type="num" val="3"/>
        <color rgb="FF92D050"/>
        <color rgb="FFFFC000"/>
        <color rgb="FFFF0000"/>
      </colorScale>
    </cfRule>
  </conditionalFormatting>
  <conditionalFormatting sqref="B65">
    <cfRule type="cellIs" dxfId="7" priority="5" operator="equal">
      <formula>0</formula>
    </cfRule>
  </conditionalFormatting>
  <conditionalFormatting sqref="B66">
    <cfRule type="colorScale" priority="4">
      <colorScale>
        <cfvo type="num" val="1"/>
        <cfvo type="num" val="2"/>
        <cfvo type="num" val="3"/>
        <color rgb="FF92D050"/>
        <color rgb="FFFFC000"/>
        <color rgb="FFFF0000"/>
      </colorScale>
    </cfRule>
  </conditionalFormatting>
  <conditionalFormatting sqref="B66">
    <cfRule type="cellIs" dxfId="6" priority="3" operator="equal">
      <formula>0</formula>
    </cfRule>
  </conditionalFormatting>
  <conditionalFormatting sqref="B67">
    <cfRule type="colorScale" priority="2">
      <colorScale>
        <cfvo type="num" val="1"/>
        <cfvo type="num" val="2"/>
        <cfvo type="num" val="3"/>
        <color rgb="FF92D050"/>
        <color rgb="FFFFC000"/>
        <color rgb="FFFF0000"/>
      </colorScale>
    </cfRule>
  </conditionalFormatting>
  <conditionalFormatting sqref="B67">
    <cfRule type="cellIs" dxfId="5" priority="1" operator="equal">
      <formula>0</formula>
    </cfRule>
  </conditionalFormatting>
  <hyperlinks>
    <hyperlink ref="A75" location="TOELICHTING!A1" display="INHOUDSOPGAVE" xr:uid="{75B38348-B302-473C-96C4-7AF84E167597}"/>
    <hyperlink ref="A77" location="'Notities en afbeeldingen'!A1" display="INHOUDSOPGAVE" xr:uid="{DDD43BE4-D5C6-4B48-B1A0-44DF780A3C17}"/>
  </hyperlinks>
  <pageMargins left="0.7" right="0.7" top="0.75" bottom="0.75" header="0.3" footer="0.3"/>
  <pageSetup paperSize="9" scale="75"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649" r:id="rId3" name="Drop Down 1">
              <controlPr defaultSize="0" autoLine="0" autoPict="0">
                <anchor moveWithCells="1">
                  <from>
                    <xdr:col>1</xdr:col>
                    <xdr:colOff>38100</xdr:colOff>
                    <xdr:row>5</xdr:row>
                    <xdr:rowOff>9525</xdr:rowOff>
                  </from>
                  <to>
                    <xdr:col>2</xdr:col>
                    <xdr:colOff>371475</xdr:colOff>
                    <xdr:row>5</xdr:row>
                    <xdr:rowOff>142875</xdr:rowOff>
                  </to>
                </anchor>
              </controlPr>
            </control>
          </mc:Choice>
        </mc:AlternateContent>
        <mc:AlternateContent xmlns:mc="http://schemas.openxmlformats.org/markup-compatibility/2006">
          <mc:Choice Requires="x14">
            <control shapeId="27650" r:id="rId4" name="Check Box 2">
              <controlPr defaultSize="0" autoFill="0" autoLine="0" autoPict="0" macro="[0]!CheckboxClick">
                <anchor moveWithCells="1">
                  <from>
                    <xdr:col>1</xdr:col>
                    <xdr:colOff>371475</xdr:colOff>
                    <xdr:row>6</xdr:row>
                    <xdr:rowOff>133350</xdr:rowOff>
                  </from>
                  <to>
                    <xdr:col>2</xdr:col>
                    <xdr:colOff>47625</xdr:colOff>
                    <xdr:row>8</xdr:row>
                    <xdr:rowOff>28575</xdr:rowOff>
                  </to>
                </anchor>
              </controlPr>
            </control>
          </mc:Choice>
        </mc:AlternateContent>
        <mc:AlternateContent xmlns:mc="http://schemas.openxmlformats.org/markup-compatibility/2006">
          <mc:Choice Requires="x14">
            <control shapeId="27651" r:id="rId5" name="Check Box 3">
              <controlPr defaultSize="0" autoFill="0" autoLine="0" autoPict="0" macro="[0]!CheckboxClick">
                <anchor moveWithCells="1">
                  <from>
                    <xdr:col>2</xdr:col>
                    <xdr:colOff>866775</xdr:colOff>
                    <xdr:row>22</xdr:row>
                    <xdr:rowOff>133350</xdr:rowOff>
                  </from>
                  <to>
                    <xdr:col>3</xdr:col>
                    <xdr:colOff>57150</xdr:colOff>
                    <xdr:row>24</xdr:row>
                    <xdr:rowOff>28575</xdr:rowOff>
                  </to>
                </anchor>
              </controlPr>
            </control>
          </mc:Choice>
        </mc:AlternateContent>
        <mc:AlternateContent xmlns:mc="http://schemas.openxmlformats.org/markup-compatibility/2006">
          <mc:Choice Requires="x14">
            <control shapeId="27652" r:id="rId6" name="Check Box 4">
              <controlPr defaultSize="0" autoFill="0" autoLine="0" autoPict="0" macro="[0]!CheckboxClick">
                <anchor moveWithCells="1">
                  <from>
                    <xdr:col>6</xdr:col>
                    <xdr:colOff>1028700</xdr:colOff>
                    <xdr:row>22</xdr:row>
                    <xdr:rowOff>133350</xdr:rowOff>
                  </from>
                  <to>
                    <xdr:col>7</xdr:col>
                    <xdr:colOff>9525</xdr:colOff>
                    <xdr:row>24</xdr:row>
                    <xdr:rowOff>28575</xdr:rowOff>
                  </to>
                </anchor>
              </controlPr>
            </control>
          </mc:Choice>
        </mc:AlternateContent>
        <mc:AlternateContent xmlns:mc="http://schemas.openxmlformats.org/markup-compatibility/2006">
          <mc:Choice Requires="x14">
            <control shapeId="27653" r:id="rId7" name="Check Box 5">
              <controlPr defaultSize="0" autoFill="0" autoLine="0" autoPict="0" macro="[0]!CheckboxClick">
                <anchor moveWithCells="1">
                  <from>
                    <xdr:col>4</xdr:col>
                    <xdr:colOff>1685925</xdr:colOff>
                    <xdr:row>22</xdr:row>
                    <xdr:rowOff>133350</xdr:rowOff>
                  </from>
                  <to>
                    <xdr:col>5</xdr:col>
                    <xdr:colOff>9525</xdr:colOff>
                    <xdr:row>24</xdr:row>
                    <xdr:rowOff>28575</xdr:rowOff>
                  </to>
                </anchor>
              </controlPr>
            </control>
          </mc:Choice>
        </mc:AlternateContent>
        <mc:AlternateContent xmlns:mc="http://schemas.openxmlformats.org/markup-compatibility/2006">
          <mc:Choice Requires="x14">
            <control shapeId="27654" r:id="rId8" name="Check Box 6">
              <controlPr defaultSize="0" autoFill="0" autoLine="0" autoPict="0" macro="[0]!CheckboxClick">
                <anchor moveWithCells="1">
                  <from>
                    <xdr:col>1</xdr:col>
                    <xdr:colOff>371475</xdr:colOff>
                    <xdr:row>8</xdr:row>
                    <xdr:rowOff>133350</xdr:rowOff>
                  </from>
                  <to>
                    <xdr:col>2</xdr:col>
                    <xdr:colOff>47625</xdr:colOff>
                    <xdr:row>10</xdr:row>
                    <xdr:rowOff>28575</xdr:rowOff>
                  </to>
                </anchor>
              </controlPr>
            </control>
          </mc:Choice>
        </mc:AlternateContent>
        <mc:AlternateContent xmlns:mc="http://schemas.openxmlformats.org/markup-compatibility/2006">
          <mc:Choice Requires="x14">
            <control shapeId="27655" r:id="rId9" name="Check Box 7">
              <controlPr defaultSize="0" autoFill="0" autoLine="0" autoPict="0" macro="[0]!CheckboxClick">
                <anchor moveWithCells="1">
                  <from>
                    <xdr:col>2</xdr:col>
                    <xdr:colOff>866775</xdr:colOff>
                    <xdr:row>21</xdr:row>
                    <xdr:rowOff>133350</xdr:rowOff>
                  </from>
                  <to>
                    <xdr:col>3</xdr:col>
                    <xdr:colOff>57150</xdr:colOff>
                    <xdr:row>23</xdr:row>
                    <xdr:rowOff>28575</xdr:rowOff>
                  </to>
                </anchor>
              </controlPr>
            </control>
          </mc:Choice>
        </mc:AlternateContent>
        <mc:AlternateContent xmlns:mc="http://schemas.openxmlformats.org/markup-compatibility/2006">
          <mc:Choice Requires="x14">
            <control shapeId="27656" r:id="rId10" name="Check Box 8">
              <controlPr defaultSize="0" autoFill="0" autoLine="0" autoPict="0" macro="[0]!CheckboxClick">
                <anchor moveWithCells="1">
                  <from>
                    <xdr:col>6</xdr:col>
                    <xdr:colOff>1028700</xdr:colOff>
                    <xdr:row>21</xdr:row>
                    <xdr:rowOff>133350</xdr:rowOff>
                  </from>
                  <to>
                    <xdr:col>7</xdr:col>
                    <xdr:colOff>9525</xdr:colOff>
                    <xdr:row>23</xdr:row>
                    <xdr:rowOff>28575</xdr:rowOff>
                  </to>
                </anchor>
              </controlPr>
            </control>
          </mc:Choice>
        </mc:AlternateContent>
        <mc:AlternateContent xmlns:mc="http://schemas.openxmlformats.org/markup-compatibility/2006">
          <mc:Choice Requires="x14">
            <control shapeId="27657" r:id="rId11" name="Check Box 9">
              <controlPr defaultSize="0" autoFill="0" autoLine="0" autoPict="0" macro="[0]!CheckboxClick">
                <anchor moveWithCells="1">
                  <from>
                    <xdr:col>4</xdr:col>
                    <xdr:colOff>1685925</xdr:colOff>
                    <xdr:row>21</xdr:row>
                    <xdr:rowOff>133350</xdr:rowOff>
                  </from>
                  <to>
                    <xdr:col>5</xdr:col>
                    <xdr:colOff>9525</xdr:colOff>
                    <xdr:row>23</xdr:row>
                    <xdr:rowOff>28575</xdr:rowOff>
                  </to>
                </anchor>
              </controlPr>
            </control>
          </mc:Choice>
        </mc:AlternateContent>
        <mc:AlternateContent xmlns:mc="http://schemas.openxmlformats.org/markup-compatibility/2006">
          <mc:Choice Requires="x14">
            <control shapeId="27658" r:id="rId12" name="Check Box 10">
              <controlPr defaultSize="0" autoFill="0" autoLine="0" autoPict="0" macro="[0]!CheckboxClick">
                <anchor moveWithCells="1">
                  <from>
                    <xdr:col>2</xdr:col>
                    <xdr:colOff>866775</xdr:colOff>
                    <xdr:row>18</xdr:row>
                    <xdr:rowOff>133350</xdr:rowOff>
                  </from>
                  <to>
                    <xdr:col>3</xdr:col>
                    <xdr:colOff>57150</xdr:colOff>
                    <xdr:row>20</xdr:row>
                    <xdr:rowOff>28575</xdr:rowOff>
                  </to>
                </anchor>
              </controlPr>
            </control>
          </mc:Choice>
        </mc:AlternateContent>
        <mc:AlternateContent xmlns:mc="http://schemas.openxmlformats.org/markup-compatibility/2006">
          <mc:Choice Requires="x14">
            <control shapeId="27659" r:id="rId13" name="Check Box 11">
              <controlPr defaultSize="0" autoFill="0" autoLine="0" autoPict="0" macro="[0]!CheckboxClick">
                <anchor moveWithCells="1">
                  <from>
                    <xdr:col>6</xdr:col>
                    <xdr:colOff>1028700</xdr:colOff>
                    <xdr:row>18</xdr:row>
                    <xdr:rowOff>133350</xdr:rowOff>
                  </from>
                  <to>
                    <xdr:col>7</xdr:col>
                    <xdr:colOff>9525</xdr:colOff>
                    <xdr:row>20</xdr:row>
                    <xdr:rowOff>28575</xdr:rowOff>
                  </to>
                </anchor>
              </controlPr>
            </control>
          </mc:Choice>
        </mc:AlternateContent>
        <mc:AlternateContent xmlns:mc="http://schemas.openxmlformats.org/markup-compatibility/2006">
          <mc:Choice Requires="x14">
            <control shapeId="27660" r:id="rId14" name="Check Box 12">
              <controlPr defaultSize="0" autoFill="0" autoLine="0" autoPict="0" macro="[0]!CheckboxClick">
                <anchor moveWithCells="1">
                  <from>
                    <xdr:col>4</xdr:col>
                    <xdr:colOff>1685925</xdr:colOff>
                    <xdr:row>18</xdr:row>
                    <xdr:rowOff>133350</xdr:rowOff>
                  </from>
                  <to>
                    <xdr:col>5</xdr:col>
                    <xdr:colOff>9525</xdr:colOff>
                    <xdr:row>20</xdr:row>
                    <xdr:rowOff>28575</xdr:rowOff>
                  </to>
                </anchor>
              </controlPr>
            </control>
          </mc:Choice>
        </mc:AlternateContent>
        <mc:AlternateContent xmlns:mc="http://schemas.openxmlformats.org/markup-compatibility/2006">
          <mc:Choice Requires="x14">
            <control shapeId="27661" r:id="rId15" name="Check Box 13">
              <controlPr defaultSize="0" autoFill="0" autoLine="0" autoPict="0" macro="[0]!CheckboxClick">
                <anchor moveWithCells="1">
                  <from>
                    <xdr:col>2</xdr:col>
                    <xdr:colOff>866775</xdr:colOff>
                    <xdr:row>19</xdr:row>
                    <xdr:rowOff>133350</xdr:rowOff>
                  </from>
                  <to>
                    <xdr:col>3</xdr:col>
                    <xdr:colOff>57150</xdr:colOff>
                    <xdr:row>21</xdr:row>
                    <xdr:rowOff>28575</xdr:rowOff>
                  </to>
                </anchor>
              </controlPr>
            </control>
          </mc:Choice>
        </mc:AlternateContent>
        <mc:AlternateContent xmlns:mc="http://schemas.openxmlformats.org/markup-compatibility/2006">
          <mc:Choice Requires="x14">
            <control shapeId="27662" r:id="rId16" name="Check Box 14">
              <controlPr defaultSize="0" autoFill="0" autoLine="0" autoPict="0" macro="[0]!CheckboxClick">
                <anchor moveWithCells="1">
                  <from>
                    <xdr:col>6</xdr:col>
                    <xdr:colOff>1028700</xdr:colOff>
                    <xdr:row>19</xdr:row>
                    <xdr:rowOff>133350</xdr:rowOff>
                  </from>
                  <to>
                    <xdr:col>7</xdr:col>
                    <xdr:colOff>9525</xdr:colOff>
                    <xdr:row>21</xdr:row>
                    <xdr:rowOff>28575</xdr:rowOff>
                  </to>
                </anchor>
              </controlPr>
            </control>
          </mc:Choice>
        </mc:AlternateContent>
        <mc:AlternateContent xmlns:mc="http://schemas.openxmlformats.org/markup-compatibility/2006">
          <mc:Choice Requires="x14">
            <control shapeId="27663" r:id="rId17" name="Check Box 15">
              <controlPr defaultSize="0" autoFill="0" autoLine="0" autoPict="0" macro="[0]!CheckboxClick">
                <anchor moveWithCells="1">
                  <from>
                    <xdr:col>4</xdr:col>
                    <xdr:colOff>1685925</xdr:colOff>
                    <xdr:row>19</xdr:row>
                    <xdr:rowOff>133350</xdr:rowOff>
                  </from>
                  <to>
                    <xdr:col>5</xdr:col>
                    <xdr:colOff>9525</xdr:colOff>
                    <xdr:row>21</xdr:row>
                    <xdr:rowOff>28575</xdr:rowOff>
                  </to>
                </anchor>
              </controlPr>
            </control>
          </mc:Choice>
        </mc:AlternateContent>
        <mc:AlternateContent xmlns:mc="http://schemas.openxmlformats.org/markup-compatibility/2006">
          <mc:Choice Requires="x14">
            <control shapeId="27664" r:id="rId18" name="Check Box 16">
              <controlPr defaultSize="0" autoFill="0" autoLine="0" autoPict="0" macro="[0]!CheckboxClick">
                <anchor moveWithCells="1">
                  <from>
                    <xdr:col>2</xdr:col>
                    <xdr:colOff>866775</xdr:colOff>
                    <xdr:row>20</xdr:row>
                    <xdr:rowOff>133350</xdr:rowOff>
                  </from>
                  <to>
                    <xdr:col>3</xdr:col>
                    <xdr:colOff>57150</xdr:colOff>
                    <xdr:row>22</xdr:row>
                    <xdr:rowOff>28575</xdr:rowOff>
                  </to>
                </anchor>
              </controlPr>
            </control>
          </mc:Choice>
        </mc:AlternateContent>
        <mc:AlternateContent xmlns:mc="http://schemas.openxmlformats.org/markup-compatibility/2006">
          <mc:Choice Requires="x14">
            <control shapeId="27665" r:id="rId19" name="Check Box 17">
              <controlPr defaultSize="0" autoFill="0" autoLine="0" autoPict="0" macro="[0]!CheckboxClick">
                <anchor moveWithCells="1">
                  <from>
                    <xdr:col>6</xdr:col>
                    <xdr:colOff>1028700</xdr:colOff>
                    <xdr:row>20</xdr:row>
                    <xdr:rowOff>133350</xdr:rowOff>
                  </from>
                  <to>
                    <xdr:col>7</xdr:col>
                    <xdr:colOff>9525</xdr:colOff>
                    <xdr:row>22</xdr:row>
                    <xdr:rowOff>28575</xdr:rowOff>
                  </to>
                </anchor>
              </controlPr>
            </control>
          </mc:Choice>
        </mc:AlternateContent>
        <mc:AlternateContent xmlns:mc="http://schemas.openxmlformats.org/markup-compatibility/2006">
          <mc:Choice Requires="x14">
            <control shapeId="27666" r:id="rId20" name="Check Box 18">
              <controlPr defaultSize="0" autoFill="0" autoLine="0" autoPict="0" macro="[0]!CheckboxClick">
                <anchor moveWithCells="1">
                  <from>
                    <xdr:col>4</xdr:col>
                    <xdr:colOff>1685925</xdr:colOff>
                    <xdr:row>20</xdr:row>
                    <xdr:rowOff>133350</xdr:rowOff>
                  </from>
                  <to>
                    <xdr:col>5</xdr:col>
                    <xdr:colOff>9525</xdr:colOff>
                    <xdr:row>22</xdr:row>
                    <xdr:rowOff>28575</xdr:rowOff>
                  </to>
                </anchor>
              </controlPr>
            </control>
          </mc:Choice>
        </mc:AlternateContent>
        <mc:AlternateContent xmlns:mc="http://schemas.openxmlformats.org/markup-compatibility/2006">
          <mc:Choice Requires="x14">
            <control shapeId="27667" r:id="rId21" name="Check Box 19">
              <controlPr defaultSize="0" autoFill="0" autoLine="0" autoPict="0" macro="[0]!CheckboxClick">
                <anchor moveWithCells="1">
                  <from>
                    <xdr:col>2</xdr:col>
                    <xdr:colOff>866775</xdr:colOff>
                    <xdr:row>23</xdr:row>
                    <xdr:rowOff>133350</xdr:rowOff>
                  </from>
                  <to>
                    <xdr:col>3</xdr:col>
                    <xdr:colOff>57150</xdr:colOff>
                    <xdr:row>25</xdr:row>
                    <xdr:rowOff>28575</xdr:rowOff>
                  </to>
                </anchor>
              </controlPr>
            </control>
          </mc:Choice>
        </mc:AlternateContent>
        <mc:AlternateContent xmlns:mc="http://schemas.openxmlformats.org/markup-compatibility/2006">
          <mc:Choice Requires="x14">
            <control shapeId="27668" r:id="rId22" name="Check Box 20">
              <controlPr defaultSize="0" autoFill="0" autoLine="0" autoPict="0" macro="[0]!CheckboxClick">
                <anchor moveWithCells="1">
                  <from>
                    <xdr:col>6</xdr:col>
                    <xdr:colOff>1028700</xdr:colOff>
                    <xdr:row>23</xdr:row>
                    <xdr:rowOff>133350</xdr:rowOff>
                  </from>
                  <to>
                    <xdr:col>7</xdr:col>
                    <xdr:colOff>9525</xdr:colOff>
                    <xdr:row>25</xdr:row>
                    <xdr:rowOff>28575</xdr:rowOff>
                  </to>
                </anchor>
              </controlPr>
            </control>
          </mc:Choice>
        </mc:AlternateContent>
        <mc:AlternateContent xmlns:mc="http://schemas.openxmlformats.org/markup-compatibility/2006">
          <mc:Choice Requires="x14">
            <control shapeId="27669" r:id="rId23" name="Check Box 21">
              <controlPr defaultSize="0" autoFill="0" autoLine="0" autoPict="0" macro="[0]!CheckboxClick">
                <anchor moveWithCells="1">
                  <from>
                    <xdr:col>4</xdr:col>
                    <xdr:colOff>1685925</xdr:colOff>
                    <xdr:row>23</xdr:row>
                    <xdr:rowOff>133350</xdr:rowOff>
                  </from>
                  <to>
                    <xdr:col>5</xdr:col>
                    <xdr:colOff>9525</xdr:colOff>
                    <xdr:row>25</xdr:row>
                    <xdr:rowOff>28575</xdr:rowOff>
                  </to>
                </anchor>
              </controlPr>
            </control>
          </mc:Choice>
        </mc:AlternateContent>
        <mc:AlternateContent xmlns:mc="http://schemas.openxmlformats.org/markup-compatibility/2006">
          <mc:Choice Requires="x14">
            <control shapeId="27670" r:id="rId24" name="Check Box 22">
              <controlPr defaultSize="0" autoFill="0" autoLine="0" autoPict="0" macro="[0]!CheckboxClick">
                <anchor moveWithCells="1">
                  <from>
                    <xdr:col>2</xdr:col>
                    <xdr:colOff>866775</xdr:colOff>
                    <xdr:row>24</xdr:row>
                    <xdr:rowOff>133350</xdr:rowOff>
                  </from>
                  <to>
                    <xdr:col>3</xdr:col>
                    <xdr:colOff>57150</xdr:colOff>
                    <xdr:row>26</xdr:row>
                    <xdr:rowOff>28575</xdr:rowOff>
                  </to>
                </anchor>
              </controlPr>
            </control>
          </mc:Choice>
        </mc:AlternateContent>
        <mc:AlternateContent xmlns:mc="http://schemas.openxmlformats.org/markup-compatibility/2006">
          <mc:Choice Requires="x14">
            <control shapeId="27671" r:id="rId25" name="Check Box 23">
              <controlPr defaultSize="0" autoFill="0" autoLine="0" autoPict="0" macro="[0]!CheckboxClick">
                <anchor moveWithCells="1">
                  <from>
                    <xdr:col>6</xdr:col>
                    <xdr:colOff>1028700</xdr:colOff>
                    <xdr:row>24</xdr:row>
                    <xdr:rowOff>133350</xdr:rowOff>
                  </from>
                  <to>
                    <xdr:col>7</xdr:col>
                    <xdr:colOff>9525</xdr:colOff>
                    <xdr:row>26</xdr:row>
                    <xdr:rowOff>28575</xdr:rowOff>
                  </to>
                </anchor>
              </controlPr>
            </control>
          </mc:Choice>
        </mc:AlternateContent>
        <mc:AlternateContent xmlns:mc="http://schemas.openxmlformats.org/markup-compatibility/2006">
          <mc:Choice Requires="x14">
            <control shapeId="27672" r:id="rId26" name="Check Box 24">
              <controlPr defaultSize="0" autoFill="0" autoLine="0" autoPict="0" macro="[0]!CheckboxClick">
                <anchor moveWithCells="1">
                  <from>
                    <xdr:col>4</xdr:col>
                    <xdr:colOff>1685925</xdr:colOff>
                    <xdr:row>24</xdr:row>
                    <xdr:rowOff>133350</xdr:rowOff>
                  </from>
                  <to>
                    <xdr:col>5</xdr:col>
                    <xdr:colOff>9525</xdr:colOff>
                    <xdr:row>26</xdr:row>
                    <xdr:rowOff>28575</xdr:rowOff>
                  </to>
                </anchor>
              </controlPr>
            </control>
          </mc:Choice>
        </mc:AlternateContent>
        <mc:AlternateContent xmlns:mc="http://schemas.openxmlformats.org/markup-compatibility/2006">
          <mc:Choice Requires="x14">
            <control shapeId="27673" r:id="rId27" name="Check Box 25">
              <controlPr defaultSize="0" autoFill="0" autoLine="0" autoPict="0" macro="[0]!CheckboxClick">
                <anchor moveWithCells="1">
                  <from>
                    <xdr:col>2</xdr:col>
                    <xdr:colOff>866775</xdr:colOff>
                    <xdr:row>27</xdr:row>
                    <xdr:rowOff>133350</xdr:rowOff>
                  </from>
                  <to>
                    <xdr:col>3</xdr:col>
                    <xdr:colOff>57150</xdr:colOff>
                    <xdr:row>29</xdr:row>
                    <xdr:rowOff>28575</xdr:rowOff>
                  </to>
                </anchor>
              </controlPr>
            </control>
          </mc:Choice>
        </mc:AlternateContent>
        <mc:AlternateContent xmlns:mc="http://schemas.openxmlformats.org/markup-compatibility/2006">
          <mc:Choice Requires="x14">
            <control shapeId="27674" r:id="rId28" name="Check Box 26">
              <controlPr defaultSize="0" autoFill="0" autoLine="0" autoPict="0" macro="[0]!CheckboxClick">
                <anchor moveWithCells="1">
                  <from>
                    <xdr:col>6</xdr:col>
                    <xdr:colOff>1028700</xdr:colOff>
                    <xdr:row>27</xdr:row>
                    <xdr:rowOff>133350</xdr:rowOff>
                  </from>
                  <to>
                    <xdr:col>7</xdr:col>
                    <xdr:colOff>9525</xdr:colOff>
                    <xdr:row>29</xdr:row>
                    <xdr:rowOff>28575</xdr:rowOff>
                  </to>
                </anchor>
              </controlPr>
            </control>
          </mc:Choice>
        </mc:AlternateContent>
        <mc:AlternateContent xmlns:mc="http://schemas.openxmlformats.org/markup-compatibility/2006">
          <mc:Choice Requires="x14">
            <control shapeId="27675" r:id="rId29" name="Check Box 27">
              <controlPr defaultSize="0" autoFill="0" autoLine="0" autoPict="0" macro="[0]!CheckboxClick">
                <anchor moveWithCells="1">
                  <from>
                    <xdr:col>4</xdr:col>
                    <xdr:colOff>1685925</xdr:colOff>
                    <xdr:row>27</xdr:row>
                    <xdr:rowOff>133350</xdr:rowOff>
                  </from>
                  <to>
                    <xdr:col>5</xdr:col>
                    <xdr:colOff>9525</xdr:colOff>
                    <xdr:row>29</xdr:row>
                    <xdr:rowOff>28575</xdr:rowOff>
                  </to>
                </anchor>
              </controlPr>
            </control>
          </mc:Choice>
        </mc:AlternateContent>
        <mc:AlternateContent xmlns:mc="http://schemas.openxmlformats.org/markup-compatibility/2006">
          <mc:Choice Requires="x14">
            <control shapeId="27676" r:id="rId30" name="Check Box 28">
              <controlPr defaultSize="0" autoFill="0" autoLine="0" autoPict="0" macro="[0]!CheckboxClick">
                <anchor moveWithCells="1">
                  <from>
                    <xdr:col>2</xdr:col>
                    <xdr:colOff>866775</xdr:colOff>
                    <xdr:row>28</xdr:row>
                    <xdr:rowOff>133350</xdr:rowOff>
                  </from>
                  <to>
                    <xdr:col>3</xdr:col>
                    <xdr:colOff>57150</xdr:colOff>
                    <xdr:row>30</xdr:row>
                    <xdr:rowOff>28575</xdr:rowOff>
                  </to>
                </anchor>
              </controlPr>
            </control>
          </mc:Choice>
        </mc:AlternateContent>
        <mc:AlternateContent xmlns:mc="http://schemas.openxmlformats.org/markup-compatibility/2006">
          <mc:Choice Requires="x14">
            <control shapeId="27677" r:id="rId31" name="Check Box 29">
              <controlPr defaultSize="0" autoFill="0" autoLine="0" autoPict="0" macro="[0]!CheckboxClick">
                <anchor moveWithCells="1">
                  <from>
                    <xdr:col>6</xdr:col>
                    <xdr:colOff>1028700</xdr:colOff>
                    <xdr:row>28</xdr:row>
                    <xdr:rowOff>133350</xdr:rowOff>
                  </from>
                  <to>
                    <xdr:col>7</xdr:col>
                    <xdr:colOff>9525</xdr:colOff>
                    <xdr:row>30</xdr:row>
                    <xdr:rowOff>28575</xdr:rowOff>
                  </to>
                </anchor>
              </controlPr>
            </control>
          </mc:Choice>
        </mc:AlternateContent>
        <mc:AlternateContent xmlns:mc="http://schemas.openxmlformats.org/markup-compatibility/2006">
          <mc:Choice Requires="x14">
            <control shapeId="27678" r:id="rId32" name="Check Box 30">
              <controlPr defaultSize="0" autoFill="0" autoLine="0" autoPict="0" macro="[0]!CheckboxClick">
                <anchor moveWithCells="1">
                  <from>
                    <xdr:col>4</xdr:col>
                    <xdr:colOff>1685925</xdr:colOff>
                    <xdr:row>28</xdr:row>
                    <xdr:rowOff>133350</xdr:rowOff>
                  </from>
                  <to>
                    <xdr:col>5</xdr:col>
                    <xdr:colOff>9525</xdr:colOff>
                    <xdr:row>30</xdr:row>
                    <xdr:rowOff>28575</xdr:rowOff>
                  </to>
                </anchor>
              </controlPr>
            </control>
          </mc:Choice>
        </mc:AlternateContent>
        <mc:AlternateContent xmlns:mc="http://schemas.openxmlformats.org/markup-compatibility/2006">
          <mc:Choice Requires="x14">
            <control shapeId="27679" r:id="rId33" name="Check Box 31">
              <controlPr defaultSize="0" autoFill="0" autoLine="0" autoPict="0" macro="[0]!CheckboxClick">
                <anchor moveWithCells="1">
                  <from>
                    <xdr:col>2</xdr:col>
                    <xdr:colOff>866775</xdr:colOff>
                    <xdr:row>29</xdr:row>
                    <xdr:rowOff>142875</xdr:rowOff>
                  </from>
                  <to>
                    <xdr:col>3</xdr:col>
                    <xdr:colOff>57150</xdr:colOff>
                    <xdr:row>31</xdr:row>
                    <xdr:rowOff>28575</xdr:rowOff>
                  </to>
                </anchor>
              </controlPr>
            </control>
          </mc:Choice>
        </mc:AlternateContent>
        <mc:AlternateContent xmlns:mc="http://schemas.openxmlformats.org/markup-compatibility/2006">
          <mc:Choice Requires="x14">
            <control shapeId="27680" r:id="rId34" name="Check Box 32">
              <controlPr defaultSize="0" autoFill="0" autoLine="0" autoPict="0" macro="[0]!CheckboxClick">
                <anchor moveWithCells="1">
                  <from>
                    <xdr:col>6</xdr:col>
                    <xdr:colOff>1028700</xdr:colOff>
                    <xdr:row>29</xdr:row>
                    <xdr:rowOff>142875</xdr:rowOff>
                  </from>
                  <to>
                    <xdr:col>7</xdr:col>
                    <xdr:colOff>9525</xdr:colOff>
                    <xdr:row>31</xdr:row>
                    <xdr:rowOff>28575</xdr:rowOff>
                  </to>
                </anchor>
              </controlPr>
            </control>
          </mc:Choice>
        </mc:AlternateContent>
        <mc:AlternateContent xmlns:mc="http://schemas.openxmlformats.org/markup-compatibility/2006">
          <mc:Choice Requires="x14">
            <control shapeId="27681" r:id="rId35" name="Check Box 33">
              <controlPr defaultSize="0" autoFill="0" autoLine="0" autoPict="0" macro="[0]!CheckboxClick">
                <anchor moveWithCells="1">
                  <from>
                    <xdr:col>4</xdr:col>
                    <xdr:colOff>1685925</xdr:colOff>
                    <xdr:row>29</xdr:row>
                    <xdr:rowOff>142875</xdr:rowOff>
                  </from>
                  <to>
                    <xdr:col>5</xdr:col>
                    <xdr:colOff>9525</xdr:colOff>
                    <xdr:row>31</xdr:row>
                    <xdr:rowOff>28575</xdr:rowOff>
                  </to>
                </anchor>
              </controlPr>
            </control>
          </mc:Choice>
        </mc:AlternateContent>
        <mc:AlternateContent xmlns:mc="http://schemas.openxmlformats.org/markup-compatibility/2006">
          <mc:Choice Requires="x14">
            <control shapeId="27682" r:id="rId36" name="Check Box 34">
              <controlPr defaultSize="0" autoFill="0" autoLine="0" autoPict="0" macro="[0]!CheckboxClick">
                <anchor moveWithCells="1">
                  <from>
                    <xdr:col>2</xdr:col>
                    <xdr:colOff>866775</xdr:colOff>
                    <xdr:row>30</xdr:row>
                    <xdr:rowOff>133350</xdr:rowOff>
                  </from>
                  <to>
                    <xdr:col>3</xdr:col>
                    <xdr:colOff>57150</xdr:colOff>
                    <xdr:row>32</xdr:row>
                    <xdr:rowOff>28575</xdr:rowOff>
                  </to>
                </anchor>
              </controlPr>
            </control>
          </mc:Choice>
        </mc:AlternateContent>
        <mc:AlternateContent xmlns:mc="http://schemas.openxmlformats.org/markup-compatibility/2006">
          <mc:Choice Requires="x14">
            <control shapeId="27683" r:id="rId37" name="Check Box 35">
              <controlPr defaultSize="0" autoFill="0" autoLine="0" autoPict="0" macro="[0]!CheckboxClick">
                <anchor moveWithCells="1">
                  <from>
                    <xdr:col>6</xdr:col>
                    <xdr:colOff>1028700</xdr:colOff>
                    <xdr:row>30</xdr:row>
                    <xdr:rowOff>133350</xdr:rowOff>
                  </from>
                  <to>
                    <xdr:col>7</xdr:col>
                    <xdr:colOff>9525</xdr:colOff>
                    <xdr:row>32</xdr:row>
                    <xdr:rowOff>28575</xdr:rowOff>
                  </to>
                </anchor>
              </controlPr>
            </control>
          </mc:Choice>
        </mc:AlternateContent>
        <mc:AlternateContent xmlns:mc="http://schemas.openxmlformats.org/markup-compatibility/2006">
          <mc:Choice Requires="x14">
            <control shapeId="27684" r:id="rId38" name="Check Box 36">
              <controlPr defaultSize="0" autoFill="0" autoLine="0" autoPict="0" macro="[0]!CheckboxClick">
                <anchor moveWithCells="1">
                  <from>
                    <xdr:col>4</xdr:col>
                    <xdr:colOff>1685925</xdr:colOff>
                    <xdr:row>30</xdr:row>
                    <xdr:rowOff>133350</xdr:rowOff>
                  </from>
                  <to>
                    <xdr:col>5</xdr:col>
                    <xdr:colOff>9525</xdr:colOff>
                    <xdr:row>32</xdr:row>
                    <xdr:rowOff>28575</xdr:rowOff>
                  </to>
                </anchor>
              </controlPr>
            </control>
          </mc:Choice>
        </mc:AlternateContent>
        <mc:AlternateContent xmlns:mc="http://schemas.openxmlformats.org/markup-compatibility/2006">
          <mc:Choice Requires="x14">
            <control shapeId="27685" r:id="rId39" name="Check Box 37">
              <controlPr defaultSize="0" autoFill="0" autoLine="0" autoPict="0" macro="[0]!CheckboxClick">
                <anchor moveWithCells="1">
                  <from>
                    <xdr:col>2</xdr:col>
                    <xdr:colOff>866775</xdr:colOff>
                    <xdr:row>33</xdr:row>
                    <xdr:rowOff>133350</xdr:rowOff>
                  </from>
                  <to>
                    <xdr:col>3</xdr:col>
                    <xdr:colOff>57150</xdr:colOff>
                    <xdr:row>35</xdr:row>
                    <xdr:rowOff>28575</xdr:rowOff>
                  </to>
                </anchor>
              </controlPr>
            </control>
          </mc:Choice>
        </mc:AlternateContent>
        <mc:AlternateContent xmlns:mc="http://schemas.openxmlformats.org/markup-compatibility/2006">
          <mc:Choice Requires="x14">
            <control shapeId="27686" r:id="rId40" name="Check Box 38">
              <controlPr defaultSize="0" autoFill="0" autoLine="0" autoPict="0" macro="[0]!CheckboxClick">
                <anchor moveWithCells="1">
                  <from>
                    <xdr:col>6</xdr:col>
                    <xdr:colOff>1028700</xdr:colOff>
                    <xdr:row>33</xdr:row>
                    <xdr:rowOff>133350</xdr:rowOff>
                  </from>
                  <to>
                    <xdr:col>7</xdr:col>
                    <xdr:colOff>9525</xdr:colOff>
                    <xdr:row>35</xdr:row>
                    <xdr:rowOff>28575</xdr:rowOff>
                  </to>
                </anchor>
              </controlPr>
            </control>
          </mc:Choice>
        </mc:AlternateContent>
        <mc:AlternateContent xmlns:mc="http://schemas.openxmlformats.org/markup-compatibility/2006">
          <mc:Choice Requires="x14">
            <control shapeId="27687" r:id="rId41" name="Check Box 39">
              <controlPr defaultSize="0" autoFill="0" autoLine="0" autoPict="0" macro="[0]!CheckboxClick">
                <anchor moveWithCells="1">
                  <from>
                    <xdr:col>4</xdr:col>
                    <xdr:colOff>1685925</xdr:colOff>
                    <xdr:row>33</xdr:row>
                    <xdr:rowOff>133350</xdr:rowOff>
                  </from>
                  <to>
                    <xdr:col>5</xdr:col>
                    <xdr:colOff>9525</xdr:colOff>
                    <xdr:row>35</xdr:row>
                    <xdr:rowOff>28575</xdr:rowOff>
                  </to>
                </anchor>
              </controlPr>
            </control>
          </mc:Choice>
        </mc:AlternateContent>
        <mc:AlternateContent xmlns:mc="http://schemas.openxmlformats.org/markup-compatibility/2006">
          <mc:Choice Requires="x14">
            <control shapeId="27688" r:id="rId42" name="Check Box 40">
              <controlPr defaultSize="0" autoFill="0" autoLine="0" autoPict="0" macro="[0]!CheckboxClick">
                <anchor moveWithCells="1">
                  <from>
                    <xdr:col>2</xdr:col>
                    <xdr:colOff>866775</xdr:colOff>
                    <xdr:row>34</xdr:row>
                    <xdr:rowOff>133350</xdr:rowOff>
                  </from>
                  <to>
                    <xdr:col>3</xdr:col>
                    <xdr:colOff>57150</xdr:colOff>
                    <xdr:row>36</xdr:row>
                    <xdr:rowOff>28575</xdr:rowOff>
                  </to>
                </anchor>
              </controlPr>
            </control>
          </mc:Choice>
        </mc:AlternateContent>
        <mc:AlternateContent xmlns:mc="http://schemas.openxmlformats.org/markup-compatibility/2006">
          <mc:Choice Requires="x14">
            <control shapeId="27689" r:id="rId43" name="Check Box 41">
              <controlPr defaultSize="0" autoFill="0" autoLine="0" autoPict="0" macro="[0]!CheckboxClick">
                <anchor moveWithCells="1">
                  <from>
                    <xdr:col>6</xdr:col>
                    <xdr:colOff>1028700</xdr:colOff>
                    <xdr:row>34</xdr:row>
                    <xdr:rowOff>133350</xdr:rowOff>
                  </from>
                  <to>
                    <xdr:col>7</xdr:col>
                    <xdr:colOff>9525</xdr:colOff>
                    <xdr:row>36</xdr:row>
                    <xdr:rowOff>28575</xdr:rowOff>
                  </to>
                </anchor>
              </controlPr>
            </control>
          </mc:Choice>
        </mc:AlternateContent>
        <mc:AlternateContent xmlns:mc="http://schemas.openxmlformats.org/markup-compatibility/2006">
          <mc:Choice Requires="x14">
            <control shapeId="27690" r:id="rId44" name="Check Box 42">
              <controlPr defaultSize="0" autoFill="0" autoLine="0" autoPict="0" macro="[0]!CheckboxClick">
                <anchor moveWithCells="1">
                  <from>
                    <xdr:col>4</xdr:col>
                    <xdr:colOff>1685925</xdr:colOff>
                    <xdr:row>34</xdr:row>
                    <xdr:rowOff>133350</xdr:rowOff>
                  </from>
                  <to>
                    <xdr:col>5</xdr:col>
                    <xdr:colOff>9525</xdr:colOff>
                    <xdr:row>36</xdr:row>
                    <xdr:rowOff>28575</xdr:rowOff>
                  </to>
                </anchor>
              </controlPr>
            </control>
          </mc:Choice>
        </mc:AlternateContent>
        <mc:AlternateContent xmlns:mc="http://schemas.openxmlformats.org/markup-compatibility/2006">
          <mc:Choice Requires="x14">
            <control shapeId="27691" r:id="rId45" name="Check Box 43">
              <controlPr defaultSize="0" autoFill="0" autoLine="0" autoPict="0" macro="[0]!CheckboxClick">
                <anchor moveWithCells="1">
                  <from>
                    <xdr:col>2</xdr:col>
                    <xdr:colOff>866775</xdr:colOff>
                    <xdr:row>35</xdr:row>
                    <xdr:rowOff>133350</xdr:rowOff>
                  </from>
                  <to>
                    <xdr:col>3</xdr:col>
                    <xdr:colOff>57150</xdr:colOff>
                    <xdr:row>37</xdr:row>
                    <xdr:rowOff>28575</xdr:rowOff>
                  </to>
                </anchor>
              </controlPr>
            </control>
          </mc:Choice>
        </mc:AlternateContent>
        <mc:AlternateContent xmlns:mc="http://schemas.openxmlformats.org/markup-compatibility/2006">
          <mc:Choice Requires="x14">
            <control shapeId="27692" r:id="rId46" name="Check Box 44">
              <controlPr defaultSize="0" autoFill="0" autoLine="0" autoPict="0" macro="[0]!CheckboxClick">
                <anchor moveWithCells="1">
                  <from>
                    <xdr:col>6</xdr:col>
                    <xdr:colOff>1028700</xdr:colOff>
                    <xdr:row>35</xdr:row>
                    <xdr:rowOff>133350</xdr:rowOff>
                  </from>
                  <to>
                    <xdr:col>7</xdr:col>
                    <xdr:colOff>9525</xdr:colOff>
                    <xdr:row>37</xdr:row>
                    <xdr:rowOff>28575</xdr:rowOff>
                  </to>
                </anchor>
              </controlPr>
            </control>
          </mc:Choice>
        </mc:AlternateContent>
        <mc:AlternateContent xmlns:mc="http://schemas.openxmlformats.org/markup-compatibility/2006">
          <mc:Choice Requires="x14">
            <control shapeId="27693" r:id="rId47" name="Check Box 45">
              <controlPr defaultSize="0" autoFill="0" autoLine="0" autoPict="0" macro="[0]!CheckboxClick">
                <anchor moveWithCells="1">
                  <from>
                    <xdr:col>4</xdr:col>
                    <xdr:colOff>1685925</xdr:colOff>
                    <xdr:row>35</xdr:row>
                    <xdr:rowOff>133350</xdr:rowOff>
                  </from>
                  <to>
                    <xdr:col>5</xdr:col>
                    <xdr:colOff>9525</xdr:colOff>
                    <xdr:row>37</xdr:row>
                    <xdr:rowOff>28575</xdr:rowOff>
                  </to>
                </anchor>
              </controlPr>
            </control>
          </mc:Choice>
        </mc:AlternateContent>
        <mc:AlternateContent xmlns:mc="http://schemas.openxmlformats.org/markup-compatibility/2006">
          <mc:Choice Requires="x14">
            <control shapeId="27694" r:id="rId48" name="Check Box 46">
              <controlPr defaultSize="0" autoFill="0" autoLine="0" autoPict="0" macro="[0]!CheckboxClick">
                <anchor moveWithCells="1">
                  <from>
                    <xdr:col>2</xdr:col>
                    <xdr:colOff>866775</xdr:colOff>
                    <xdr:row>37</xdr:row>
                    <xdr:rowOff>133350</xdr:rowOff>
                  </from>
                  <to>
                    <xdr:col>3</xdr:col>
                    <xdr:colOff>57150</xdr:colOff>
                    <xdr:row>39</xdr:row>
                    <xdr:rowOff>28575</xdr:rowOff>
                  </to>
                </anchor>
              </controlPr>
            </control>
          </mc:Choice>
        </mc:AlternateContent>
        <mc:AlternateContent xmlns:mc="http://schemas.openxmlformats.org/markup-compatibility/2006">
          <mc:Choice Requires="x14">
            <control shapeId="27695" r:id="rId49" name="Check Box 47">
              <controlPr defaultSize="0" autoFill="0" autoLine="0" autoPict="0" macro="[0]!CheckboxClick">
                <anchor moveWithCells="1">
                  <from>
                    <xdr:col>6</xdr:col>
                    <xdr:colOff>1028700</xdr:colOff>
                    <xdr:row>37</xdr:row>
                    <xdr:rowOff>133350</xdr:rowOff>
                  </from>
                  <to>
                    <xdr:col>7</xdr:col>
                    <xdr:colOff>9525</xdr:colOff>
                    <xdr:row>39</xdr:row>
                    <xdr:rowOff>28575</xdr:rowOff>
                  </to>
                </anchor>
              </controlPr>
            </control>
          </mc:Choice>
        </mc:AlternateContent>
        <mc:AlternateContent xmlns:mc="http://schemas.openxmlformats.org/markup-compatibility/2006">
          <mc:Choice Requires="x14">
            <control shapeId="27696" r:id="rId50" name="Check Box 48">
              <controlPr defaultSize="0" autoFill="0" autoLine="0" autoPict="0" macro="[0]!CheckboxClick">
                <anchor moveWithCells="1">
                  <from>
                    <xdr:col>4</xdr:col>
                    <xdr:colOff>1685925</xdr:colOff>
                    <xdr:row>37</xdr:row>
                    <xdr:rowOff>133350</xdr:rowOff>
                  </from>
                  <to>
                    <xdr:col>5</xdr:col>
                    <xdr:colOff>9525</xdr:colOff>
                    <xdr:row>39</xdr:row>
                    <xdr:rowOff>28575</xdr:rowOff>
                  </to>
                </anchor>
              </controlPr>
            </control>
          </mc:Choice>
        </mc:AlternateContent>
        <mc:AlternateContent xmlns:mc="http://schemas.openxmlformats.org/markup-compatibility/2006">
          <mc:Choice Requires="x14">
            <control shapeId="27697" r:id="rId51" name="Check Box 49">
              <controlPr defaultSize="0" autoFill="0" autoLine="0" autoPict="0" macro="[0]!CheckboxClick">
                <anchor moveWithCells="1">
                  <from>
                    <xdr:col>2</xdr:col>
                    <xdr:colOff>866775</xdr:colOff>
                    <xdr:row>38</xdr:row>
                    <xdr:rowOff>133350</xdr:rowOff>
                  </from>
                  <to>
                    <xdr:col>3</xdr:col>
                    <xdr:colOff>57150</xdr:colOff>
                    <xdr:row>40</xdr:row>
                    <xdr:rowOff>28575</xdr:rowOff>
                  </to>
                </anchor>
              </controlPr>
            </control>
          </mc:Choice>
        </mc:AlternateContent>
        <mc:AlternateContent xmlns:mc="http://schemas.openxmlformats.org/markup-compatibility/2006">
          <mc:Choice Requires="x14">
            <control shapeId="27698" r:id="rId52" name="Check Box 50">
              <controlPr defaultSize="0" autoFill="0" autoLine="0" autoPict="0" macro="[0]!CheckboxClick">
                <anchor moveWithCells="1">
                  <from>
                    <xdr:col>6</xdr:col>
                    <xdr:colOff>1028700</xdr:colOff>
                    <xdr:row>38</xdr:row>
                    <xdr:rowOff>133350</xdr:rowOff>
                  </from>
                  <to>
                    <xdr:col>7</xdr:col>
                    <xdr:colOff>9525</xdr:colOff>
                    <xdr:row>40</xdr:row>
                    <xdr:rowOff>28575</xdr:rowOff>
                  </to>
                </anchor>
              </controlPr>
            </control>
          </mc:Choice>
        </mc:AlternateContent>
        <mc:AlternateContent xmlns:mc="http://schemas.openxmlformats.org/markup-compatibility/2006">
          <mc:Choice Requires="x14">
            <control shapeId="27699" r:id="rId53" name="Check Box 51">
              <controlPr defaultSize="0" autoFill="0" autoLine="0" autoPict="0" macro="[0]!CheckboxClick">
                <anchor moveWithCells="1">
                  <from>
                    <xdr:col>4</xdr:col>
                    <xdr:colOff>1685925</xdr:colOff>
                    <xdr:row>38</xdr:row>
                    <xdr:rowOff>133350</xdr:rowOff>
                  </from>
                  <to>
                    <xdr:col>5</xdr:col>
                    <xdr:colOff>9525</xdr:colOff>
                    <xdr:row>40</xdr:row>
                    <xdr:rowOff>28575</xdr:rowOff>
                  </to>
                </anchor>
              </controlPr>
            </control>
          </mc:Choice>
        </mc:AlternateContent>
        <mc:AlternateContent xmlns:mc="http://schemas.openxmlformats.org/markup-compatibility/2006">
          <mc:Choice Requires="x14">
            <control shapeId="27700" r:id="rId54" name="Check Box 52">
              <controlPr defaultSize="0" autoFill="0" autoLine="0" autoPict="0" macro="[0]!CheckboxClick">
                <anchor moveWithCells="1">
                  <from>
                    <xdr:col>2</xdr:col>
                    <xdr:colOff>866775</xdr:colOff>
                    <xdr:row>36</xdr:row>
                    <xdr:rowOff>133350</xdr:rowOff>
                  </from>
                  <to>
                    <xdr:col>3</xdr:col>
                    <xdr:colOff>57150</xdr:colOff>
                    <xdr:row>38</xdr:row>
                    <xdr:rowOff>28575</xdr:rowOff>
                  </to>
                </anchor>
              </controlPr>
            </control>
          </mc:Choice>
        </mc:AlternateContent>
        <mc:AlternateContent xmlns:mc="http://schemas.openxmlformats.org/markup-compatibility/2006">
          <mc:Choice Requires="x14">
            <control shapeId="27701" r:id="rId55" name="Check Box 53">
              <controlPr defaultSize="0" autoFill="0" autoLine="0" autoPict="0" macro="[0]!CheckboxClick">
                <anchor moveWithCells="1">
                  <from>
                    <xdr:col>6</xdr:col>
                    <xdr:colOff>1028700</xdr:colOff>
                    <xdr:row>36</xdr:row>
                    <xdr:rowOff>133350</xdr:rowOff>
                  </from>
                  <to>
                    <xdr:col>7</xdr:col>
                    <xdr:colOff>9525</xdr:colOff>
                    <xdr:row>38</xdr:row>
                    <xdr:rowOff>28575</xdr:rowOff>
                  </to>
                </anchor>
              </controlPr>
            </control>
          </mc:Choice>
        </mc:AlternateContent>
        <mc:AlternateContent xmlns:mc="http://schemas.openxmlformats.org/markup-compatibility/2006">
          <mc:Choice Requires="x14">
            <control shapeId="27702" r:id="rId56" name="Check Box 54">
              <controlPr defaultSize="0" autoFill="0" autoLine="0" autoPict="0" macro="[0]!CheckboxClick">
                <anchor moveWithCells="1">
                  <from>
                    <xdr:col>4</xdr:col>
                    <xdr:colOff>1685925</xdr:colOff>
                    <xdr:row>36</xdr:row>
                    <xdr:rowOff>133350</xdr:rowOff>
                  </from>
                  <to>
                    <xdr:col>5</xdr:col>
                    <xdr:colOff>9525</xdr:colOff>
                    <xdr:row>38</xdr:row>
                    <xdr:rowOff>28575</xdr:rowOff>
                  </to>
                </anchor>
              </controlPr>
            </control>
          </mc:Choice>
        </mc:AlternateContent>
        <mc:AlternateContent xmlns:mc="http://schemas.openxmlformats.org/markup-compatibility/2006">
          <mc:Choice Requires="x14">
            <control shapeId="27703" r:id="rId57" name="Check Box 55">
              <controlPr defaultSize="0" autoFill="0" autoLine="0" autoPict="0" macro="[0]!CheckboxClick">
                <anchor moveWithCells="1">
                  <from>
                    <xdr:col>1</xdr:col>
                    <xdr:colOff>371475</xdr:colOff>
                    <xdr:row>7</xdr:row>
                    <xdr:rowOff>133350</xdr:rowOff>
                  </from>
                  <to>
                    <xdr:col>2</xdr:col>
                    <xdr:colOff>47625</xdr:colOff>
                    <xdr:row>9</xdr:row>
                    <xdr:rowOff>28575</xdr:rowOff>
                  </to>
                </anchor>
              </controlPr>
            </control>
          </mc:Choice>
        </mc:AlternateContent>
        <mc:AlternateContent xmlns:mc="http://schemas.openxmlformats.org/markup-compatibility/2006">
          <mc:Choice Requires="x14">
            <control shapeId="27704" r:id="rId58" name="Check Box 56">
              <controlPr defaultSize="0" autoFill="0" autoLine="0" autoPict="0" macro="[0]!CheckboxClick">
                <anchor moveWithCells="1">
                  <from>
                    <xdr:col>2</xdr:col>
                    <xdr:colOff>866775</xdr:colOff>
                    <xdr:row>39</xdr:row>
                    <xdr:rowOff>133350</xdr:rowOff>
                  </from>
                  <to>
                    <xdr:col>3</xdr:col>
                    <xdr:colOff>57150</xdr:colOff>
                    <xdr:row>41</xdr:row>
                    <xdr:rowOff>28575</xdr:rowOff>
                  </to>
                </anchor>
              </controlPr>
            </control>
          </mc:Choice>
        </mc:AlternateContent>
        <mc:AlternateContent xmlns:mc="http://schemas.openxmlformats.org/markup-compatibility/2006">
          <mc:Choice Requires="x14">
            <control shapeId="27705" r:id="rId59" name="Check Box 57">
              <controlPr defaultSize="0" autoFill="0" autoLine="0" autoPict="0" macro="[0]!CheckboxClick">
                <anchor moveWithCells="1">
                  <from>
                    <xdr:col>6</xdr:col>
                    <xdr:colOff>1028700</xdr:colOff>
                    <xdr:row>39</xdr:row>
                    <xdr:rowOff>133350</xdr:rowOff>
                  </from>
                  <to>
                    <xdr:col>7</xdr:col>
                    <xdr:colOff>9525</xdr:colOff>
                    <xdr:row>41</xdr:row>
                    <xdr:rowOff>28575</xdr:rowOff>
                  </to>
                </anchor>
              </controlPr>
            </control>
          </mc:Choice>
        </mc:AlternateContent>
        <mc:AlternateContent xmlns:mc="http://schemas.openxmlformats.org/markup-compatibility/2006">
          <mc:Choice Requires="x14">
            <control shapeId="27706" r:id="rId60" name="Check Box 58">
              <controlPr defaultSize="0" autoFill="0" autoLine="0" autoPict="0" macro="[0]!CheckboxClick">
                <anchor moveWithCells="1">
                  <from>
                    <xdr:col>4</xdr:col>
                    <xdr:colOff>1685925</xdr:colOff>
                    <xdr:row>39</xdr:row>
                    <xdr:rowOff>133350</xdr:rowOff>
                  </from>
                  <to>
                    <xdr:col>5</xdr:col>
                    <xdr:colOff>9525</xdr:colOff>
                    <xdr:row>41</xdr:row>
                    <xdr:rowOff>28575</xdr:rowOff>
                  </to>
                </anchor>
              </controlPr>
            </control>
          </mc:Choice>
        </mc:AlternateContent>
        <mc:AlternateContent xmlns:mc="http://schemas.openxmlformats.org/markup-compatibility/2006">
          <mc:Choice Requires="x14">
            <control shapeId="27707" r:id="rId61" name="Check Box 59">
              <controlPr defaultSize="0" autoFill="0" autoLine="0" autoPict="0" macro="[0]!CheckboxClick">
                <anchor moveWithCells="1">
                  <from>
                    <xdr:col>2</xdr:col>
                    <xdr:colOff>866775</xdr:colOff>
                    <xdr:row>40</xdr:row>
                    <xdr:rowOff>133350</xdr:rowOff>
                  </from>
                  <to>
                    <xdr:col>3</xdr:col>
                    <xdr:colOff>57150</xdr:colOff>
                    <xdr:row>42</xdr:row>
                    <xdr:rowOff>28575</xdr:rowOff>
                  </to>
                </anchor>
              </controlPr>
            </control>
          </mc:Choice>
        </mc:AlternateContent>
        <mc:AlternateContent xmlns:mc="http://schemas.openxmlformats.org/markup-compatibility/2006">
          <mc:Choice Requires="x14">
            <control shapeId="27708" r:id="rId62" name="Check Box 60">
              <controlPr defaultSize="0" autoFill="0" autoLine="0" autoPict="0" macro="[0]!CheckboxClick">
                <anchor moveWithCells="1">
                  <from>
                    <xdr:col>6</xdr:col>
                    <xdr:colOff>1028700</xdr:colOff>
                    <xdr:row>40</xdr:row>
                    <xdr:rowOff>133350</xdr:rowOff>
                  </from>
                  <to>
                    <xdr:col>7</xdr:col>
                    <xdr:colOff>9525</xdr:colOff>
                    <xdr:row>42</xdr:row>
                    <xdr:rowOff>28575</xdr:rowOff>
                  </to>
                </anchor>
              </controlPr>
            </control>
          </mc:Choice>
        </mc:AlternateContent>
        <mc:AlternateContent xmlns:mc="http://schemas.openxmlformats.org/markup-compatibility/2006">
          <mc:Choice Requires="x14">
            <control shapeId="27709" r:id="rId63" name="Check Box 61">
              <controlPr defaultSize="0" autoFill="0" autoLine="0" autoPict="0" macro="[0]!CheckboxClick">
                <anchor moveWithCells="1">
                  <from>
                    <xdr:col>4</xdr:col>
                    <xdr:colOff>1685925</xdr:colOff>
                    <xdr:row>40</xdr:row>
                    <xdr:rowOff>133350</xdr:rowOff>
                  </from>
                  <to>
                    <xdr:col>5</xdr:col>
                    <xdr:colOff>9525</xdr:colOff>
                    <xdr:row>42</xdr:row>
                    <xdr:rowOff>28575</xdr:rowOff>
                  </to>
                </anchor>
              </controlPr>
            </control>
          </mc:Choice>
        </mc:AlternateContent>
        <mc:AlternateContent xmlns:mc="http://schemas.openxmlformats.org/markup-compatibility/2006">
          <mc:Choice Requires="x14">
            <control shapeId="27710" r:id="rId64" name="Check Box 62">
              <controlPr defaultSize="0" autoFill="0" autoLine="0" autoPict="0" macro="[0]!CheckboxClick">
                <anchor moveWithCells="1">
                  <from>
                    <xdr:col>2</xdr:col>
                    <xdr:colOff>866775</xdr:colOff>
                    <xdr:row>41</xdr:row>
                    <xdr:rowOff>133350</xdr:rowOff>
                  </from>
                  <to>
                    <xdr:col>3</xdr:col>
                    <xdr:colOff>57150</xdr:colOff>
                    <xdr:row>43</xdr:row>
                    <xdr:rowOff>28575</xdr:rowOff>
                  </to>
                </anchor>
              </controlPr>
            </control>
          </mc:Choice>
        </mc:AlternateContent>
        <mc:AlternateContent xmlns:mc="http://schemas.openxmlformats.org/markup-compatibility/2006">
          <mc:Choice Requires="x14">
            <control shapeId="27711" r:id="rId65" name="Check Box 63">
              <controlPr defaultSize="0" autoFill="0" autoLine="0" autoPict="0" macro="[0]!CheckboxClick">
                <anchor moveWithCells="1">
                  <from>
                    <xdr:col>6</xdr:col>
                    <xdr:colOff>1028700</xdr:colOff>
                    <xdr:row>41</xdr:row>
                    <xdr:rowOff>133350</xdr:rowOff>
                  </from>
                  <to>
                    <xdr:col>7</xdr:col>
                    <xdr:colOff>9525</xdr:colOff>
                    <xdr:row>43</xdr:row>
                    <xdr:rowOff>28575</xdr:rowOff>
                  </to>
                </anchor>
              </controlPr>
            </control>
          </mc:Choice>
        </mc:AlternateContent>
        <mc:AlternateContent xmlns:mc="http://schemas.openxmlformats.org/markup-compatibility/2006">
          <mc:Choice Requires="x14">
            <control shapeId="27712" r:id="rId66" name="Check Box 64">
              <controlPr defaultSize="0" autoFill="0" autoLine="0" autoPict="0" macro="[0]!CheckboxClick">
                <anchor moveWithCells="1">
                  <from>
                    <xdr:col>4</xdr:col>
                    <xdr:colOff>1685925</xdr:colOff>
                    <xdr:row>41</xdr:row>
                    <xdr:rowOff>133350</xdr:rowOff>
                  </from>
                  <to>
                    <xdr:col>5</xdr:col>
                    <xdr:colOff>9525</xdr:colOff>
                    <xdr:row>43</xdr:row>
                    <xdr:rowOff>28575</xdr:rowOff>
                  </to>
                </anchor>
              </controlPr>
            </control>
          </mc:Choice>
        </mc:AlternateContent>
        <mc:AlternateContent xmlns:mc="http://schemas.openxmlformats.org/markup-compatibility/2006">
          <mc:Choice Requires="x14">
            <control shapeId="27713" r:id="rId67" name="Check Box 65">
              <controlPr defaultSize="0" autoFill="0" autoLine="0" autoPict="0" macro="[0]!CheckboxClick">
                <anchor moveWithCells="1">
                  <from>
                    <xdr:col>2</xdr:col>
                    <xdr:colOff>866775</xdr:colOff>
                    <xdr:row>42</xdr:row>
                    <xdr:rowOff>133350</xdr:rowOff>
                  </from>
                  <to>
                    <xdr:col>3</xdr:col>
                    <xdr:colOff>57150</xdr:colOff>
                    <xdr:row>44</xdr:row>
                    <xdr:rowOff>28575</xdr:rowOff>
                  </to>
                </anchor>
              </controlPr>
            </control>
          </mc:Choice>
        </mc:AlternateContent>
        <mc:AlternateContent xmlns:mc="http://schemas.openxmlformats.org/markup-compatibility/2006">
          <mc:Choice Requires="x14">
            <control shapeId="27714" r:id="rId68" name="Check Box 66">
              <controlPr defaultSize="0" autoFill="0" autoLine="0" autoPict="0" macro="[0]!CheckboxClick">
                <anchor moveWithCells="1">
                  <from>
                    <xdr:col>6</xdr:col>
                    <xdr:colOff>1028700</xdr:colOff>
                    <xdr:row>42</xdr:row>
                    <xdr:rowOff>133350</xdr:rowOff>
                  </from>
                  <to>
                    <xdr:col>7</xdr:col>
                    <xdr:colOff>9525</xdr:colOff>
                    <xdr:row>44</xdr:row>
                    <xdr:rowOff>28575</xdr:rowOff>
                  </to>
                </anchor>
              </controlPr>
            </control>
          </mc:Choice>
        </mc:AlternateContent>
        <mc:AlternateContent xmlns:mc="http://schemas.openxmlformats.org/markup-compatibility/2006">
          <mc:Choice Requires="x14">
            <control shapeId="27715" r:id="rId69" name="Check Box 67">
              <controlPr defaultSize="0" autoFill="0" autoLine="0" autoPict="0" macro="[0]!CheckboxClick">
                <anchor moveWithCells="1">
                  <from>
                    <xdr:col>4</xdr:col>
                    <xdr:colOff>1685925</xdr:colOff>
                    <xdr:row>42</xdr:row>
                    <xdr:rowOff>133350</xdr:rowOff>
                  </from>
                  <to>
                    <xdr:col>5</xdr:col>
                    <xdr:colOff>9525</xdr:colOff>
                    <xdr:row>44</xdr:row>
                    <xdr:rowOff>28575</xdr:rowOff>
                  </to>
                </anchor>
              </controlPr>
            </control>
          </mc:Choice>
        </mc:AlternateContent>
        <mc:AlternateContent xmlns:mc="http://schemas.openxmlformats.org/markup-compatibility/2006">
          <mc:Choice Requires="x14">
            <control shapeId="27716" r:id="rId70" name="Check Box 68">
              <controlPr defaultSize="0" autoFill="0" autoLine="0" autoPict="0" macro="[0]!CheckboxClick">
                <anchor moveWithCells="1">
                  <from>
                    <xdr:col>2</xdr:col>
                    <xdr:colOff>866775</xdr:colOff>
                    <xdr:row>45</xdr:row>
                    <xdr:rowOff>133350</xdr:rowOff>
                  </from>
                  <to>
                    <xdr:col>3</xdr:col>
                    <xdr:colOff>57150</xdr:colOff>
                    <xdr:row>47</xdr:row>
                    <xdr:rowOff>28575</xdr:rowOff>
                  </to>
                </anchor>
              </controlPr>
            </control>
          </mc:Choice>
        </mc:AlternateContent>
        <mc:AlternateContent xmlns:mc="http://schemas.openxmlformats.org/markup-compatibility/2006">
          <mc:Choice Requires="x14">
            <control shapeId="27717" r:id="rId71" name="Check Box 69">
              <controlPr defaultSize="0" autoFill="0" autoLine="0" autoPict="0" macro="[0]!CheckboxClick">
                <anchor moveWithCells="1">
                  <from>
                    <xdr:col>6</xdr:col>
                    <xdr:colOff>1028700</xdr:colOff>
                    <xdr:row>45</xdr:row>
                    <xdr:rowOff>133350</xdr:rowOff>
                  </from>
                  <to>
                    <xdr:col>7</xdr:col>
                    <xdr:colOff>0</xdr:colOff>
                    <xdr:row>47</xdr:row>
                    <xdr:rowOff>28575</xdr:rowOff>
                  </to>
                </anchor>
              </controlPr>
            </control>
          </mc:Choice>
        </mc:AlternateContent>
        <mc:AlternateContent xmlns:mc="http://schemas.openxmlformats.org/markup-compatibility/2006">
          <mc:Choice Requires="x14">
            <control shapeId="27718" r:id="rId72" name="Check Box 70">
              <controlPr defaultSize="0" autoFill="0" autoLine="0" autoPict="0" macro="[0]!CheckboxClick">
                <anchor moveWithCells="1">
                  <from>
                    <xdr:col>4</xdr:col>
                    <xdr:colOff>1685925</xdr:colOff>
                    <xdr:row>45</xdr:row>
                    <xdr:rowOff>133350</xdr:rowOff>
                  </from>
                  <to>
                    <xdr:col>5</xdr:col>
                    <xdr:colOff>9525</xdr:colOff>
                    <xdr:row>47</xdr:row>
                    <xdr:rowOff>28575</xdr:rowOff>
                  </to>
                </anchor>
              </controlPr>
            </control>
          </mc:Choice>
        </mc:AlternateContent>
        <mc:AlternateContent xmlns:mc="http://schemas.openxmlformats.org/markup-compatibility/2006">
          <mc:Choice Requires="x14">
            <control shapeId="27719" r:id="rId73" name="Check Box 71">
              <controlPr defaultSize="0" autoFill="0" autoLine="0" autoPict="0" macro="[0]!CheckboxClick">
                <anchor moveWithCells="1">
                  <from>
                    <xdr:col>2</xdr:col>
                    <xdr:colOff>866775</xdr:colOff>
                    <xdr:row>47</xdr:row>
                    <xdr:rowOff>142875</xdr:rowOff>
                  </from>
                  <to>
                    <xdr:col>3</xdr:col>
                    <xdr:colOff>57150</xdr:colOff>
                    <xdr:row>49</xdr:row>
                    <xdr:rowOff>38100</xdr:rowOff>
                  </to>
                </anchor>
              </controlPr>
            </control>
          </mc:Choice>
        </mc:AlternateContent>
        <mc:AlternateContent xmlns:mc="http://schemas.openxmlformats.org/markup-compatibility/2006">
          <mc:Choice Requires="x14">
            <control shapeId="27720" r:id="rId74" name="Check Box 72">
              <controlPr defaultSize="0" autoFill="0" autoLine="0" autoPict="0" macro="[0]!CheckboxClick">
                <anchor moveWithCells="1">
                  <from>
                    <xdr:col>6</xdr:col>
                    <xdr:colOff>1028700</xdr:colOff>
                    <xdr:row>47</xdr:row>
                    <xdr:rowOff>142875</xdr:rowOff>
                  </from>
                  <to>
                    <xdr:col>7</xdr:col>
                    <xdr:colOff>9525</xdr:colOff>
                    <xdr:row>49</xdr:row>
                    <xdr:rowOff>38100</xdr:rowOff>
                  </to>
                </anchor>
              </controlPr>
            </control>
          </mc:Choice>
        </mc:AlternateContent>
        <mc:AlternateContent xmlns:mc="http://schemas.openxmlformats.org/markup-compatibility/2006">
          <mc:Choice Requires="x14">
            <control shapeId="27721" r:id="rId75" name="Check Box 73">
              <controlPr defaultSize="0" autoFill="0" autoLine="0" autoPict="0" macro="[0]!CheckboxClick">
                <anchor moveWithCells="1">
                  <from>
                    <xdr:col>4</xdr:col>
                    <xdr:colOff>1685925</xdr:colOff>
                    <xdr:row>47</xdr:row>
                    <xdr:rowOff>142875</xdr:rowOff>
                  </from>
                  <to>
                    <xdr:col>5</xdr:col>
                    <xdr:colOff>9525</xdr:colOff>
                    <xdr:row>49</xdr:row>
                    <xdr:rowOff>38100</xdr:rowOff>
                  </to>
                </anchor>
              </controlPr>
            </control>
          </mc:Choice>
        </mc:AlternateContent>
        <mc:AlternateContent xmlns:mc="http://schemas.openxmlformats.org/markup-compatibility/2006">
          <mc:Choice Requires="x14">
            <control shapeId="27722" r:id="rId76" name="Check Box 74">
              <controlPr defaultSize="0" autoFill="0" autoLine="0" autoPict="0" macro="[0]!CheckboxClick">
                <anchor moveWithCells="1">
                  <from>
                    <xdr:col>2</xdr:col>
                    <xdr:colOff>866775</xdr:colOff>
                    <xdr:row>48</xdr:row>
                    <xdr:rowOff>133350</xdr:rowOff>
                  </from>
                  <to>
                    <xdr:col>3</xdr:col>
                    <xdr:colOff>57150</xdr:colOff>
                    <xdr:row>50</xdr:row>
                    <xdr:rowOff>28575</xdr:rowOff>
                  </to>
                </anchor>
              </controlPr>
            </control>
          </mc:Choice>
        </mc:AlternateContent>
        <mc:AlternateContent xmlns:mc="http://schemas.openxmlformats.org/markup-compatibility/2006">
          <mc:Choice Requires="x14">
            <control shapeId="27723" r:id="rId77" name="Check Box 75">
              <controlPr defaultSize="0" autoFill="0" autoLine="0" autoPict="0" macro="[0]!CheckboxClick">
                <anchor moveWithCells="1">
                  <from>
                    <xdr:col>6</xdr:col>
                    <xdr:colOff>1028700</xdr:colOff>
                    <xdr:row>48</xdr:row>
                    <xdr:rowOff>133350</xdr:rowOff>
                  </from>
                  <to>
                    <xdr:col>7</xdr:col>
                    <xdr:colOff>0</xdr:colOff>
                    <xdr:row>50</xdr:row>
                    <xdr:rowOff>28575</xdr:rowOff>
                  </to>
                </anchor>
              </controlPr>
            </control>
          </mc:Choice>
        </mc:AlternateContent>
        <mc:AlternateContent xmlns:mc="http://schemas.openxmlformats.org/markup-compatibility/2006">
          <mc:Choice Requires="x14">
            <control shapeId="27724" r:id="rId78" name="Check Box 76">
              <controlPr defaultSize="0" autoFill="0" autoLine="0" autoPict="0" macro="[0]!CheckboxClick">
                <anchor moveWithCells="1">
                  <from>
                    <xdr:col>4</xdr:col>
                    <xdr:colOff>1685925</xdr:colOff>
                    <xdr:row>48</xdr:row>
                    <xdr:rowOff>133350</xdr:rowOff>
                  </from>
                  <to>
                    <xdr:col>5</xdr:col>
                    <xdr:colOff>9525</xdr:colOff>
                    <xdr:row>50</xdr:row>
                    <xdr:rowOff>28575</xdr:rowOff>
                  </to>
                </anchor>
              </controlPr>
            </control>
          </mc:Choice>
        </mc:AlternateContent>
        <mc:AlternateContent xmlns:mc="http://schemas.openxmlformats.org/markup-compatibility/2006">
          <mc:Choice Requires="x14">
            <control shapeId="27725" r:id="rId79" name="Check Box 77">
              <controlPr defaultSize="0" autoFill="0" autoLine="0" autoPict="0" macro="[0]!CheckboxClick">
                <anchor moveWithCells="1">
                  <from>
                    <xdr:col>2</xdr:col>
                    <xdr:colOff>866775</xdr:colOff>
                    <xdr:row>49</xdr:row>
                    <xdr:rowOff>133350</xdr:rowOff>
                  </from>
                  <to>
                    <xdr:col>3</xdr:col>
                    <xdr:colOff>57150</xdr:colOff>
                    <xdr:row>51</xdr:row>
                    <xdr:rowOff>28575</xdr:rowOff>
                  </to>
                </anchor>
              </controlPr>
            </control>
          </mc:Choice>
        </mc:AlternateContent>
        <mc:AlternateContent xmlns:mc="http://schemas.openxmlformats.org/markup-compatibility/2006">
          <mc:Choice Requires="x14">
            <control shapeId="27726" r:id="rId80" name="Check Box 78">
              <controlPr defaultSize="0" autoFill="0" autoLine="0" autoPict="0" macro="[0]!CheckboxClick">
                <anchor moveWithCells="1">
                  <from>
                    <xdr:col>6</xdr:col>
                    <xdr:colOff>1028700</xdr:colOff>
                    <xdr:row>49</xdr:row>
                    <xdr:rowOff>133350</xdr:rowOff>
                  </from>
                  <to>
                    <xdr:col>7</xdr:col>
                    <xdr:colOff>9525</xdr:colOff>
                    <xdr:row>51</xdr:row>
                    <xdr:rowOff>28575</xdr:rowOff>
                  </to>
                </anchor>
              </controlPr>
            </control>
          </mc:Choice>
        </mc:AlternateContent>
        <mc:AlternateContent xmlns:mc="http://schemas.openxmlformats.org/markup-compatibility/2006">
          <mc:Choice Requires="x14">
            <control shapeId="27727" r:id="rId81" name="Check Box 79">
              <controlPr defaultSize="0" autoFill="0" autoLine="0" autoPict="0" macro="[0]!CheckboxClick">
                <anchor moveWithCells="1">
                  <from>
                    <xdr:col>4</xdr:col>
                    <xdr:colOff>1685925</xdr:colOff>
                    <xdr:row>49</xdr:row>
                    <xdr:rowOff>133350</xdr:rowOff>
                  </from>
                  <to>
                    <xdr:col>5</xdr:col>
                    <xdr:colOff>9525</xdr:colOff>
                    <xdr:row>51</xdr:row>
                    <xdr:rowOff>28575</xdr:rowOff>
                  </to>
                </anchor>
              </controlPr>
            </control>
          </mc:Choice>
        </mc:AlternateContent>
        <mc:AlternateContent xmlns:mc="http://schemas.openxmlformats.org/markup-compatibility/2006">
          <mc:Choice Requires="x14">
            <control shapeId="27728" r:id="rId82" name="Check Box 80">
              <controlPr defaultSize="0" autoFill="0" autoLine="0" autoPict="0" macro="[0]!CheckboxClick">
                <anchor moveWithCells="1">
                  <from>
                    <xdr:col>2</xdr:col>
                    <xdr:colOff>866775</xdr:colOff>
                    <xdr:row>53</xdr:row>
                    <xdr:rowOff>142875</xdr:rowOff>
                  </from>
                  <to>
                    <xdr:col>3</xdr:col>
                    <xdr:colOff>57150</xdr:colOff>
                    <xdr:row>55</xdr:row>
                    <xdr:rowOff>38100</xdr:rowOff>
                  </to>
                </anchor>
              </controlPr>
            </control>
          </mc:Choice>
        </mc:AlternateContent>
        <mc:AlternateContent xmlns:mc="http://schemas.openxmlformats.org/markup-compatibility/2006">
          <mc:Choice Requires="x14">
            <control shapeId="27729" r:id="rId83" name="Check Box 81">
              <controlPr defaultSize="0" autoFill="0" autoLine="0" autoPict="0" macro="[0]!CheckboxClick">
                <anchor moveWithCells="1">
                  <from>
                    <xdr:col>6</xdr:col>
                    <xdr:colOff>1028700</xdr:colOff>
                    <xdr:row>53</xdr:row>
                    <xdr:rowOff>142875</xdr:rowOff>
                  </from>
                  <to>
                    <xdr:col>7</xdr:col>
                    <xdr:colOff>9525</xdr:colOff>
                    <xdr:row>55</xdr:row>
                    <xdr:rowOff>38100</xdr:rowOff>
                  </to>
                </anchor>
              </controlPr>
            </control>
          </mc:Choice>
        </mc:AlternateContent>
        <mc:AlternateContent xmlns:mc="http://schemas.openxmlformats.org/markup-compatibility/2006">
          <mc:Choice Requires="x14">
            <control shapeId="27730" r:id="rId84" name="Check Box 82">
              <controlPr defaultSize="0" autoFill="0" autoLine="0" autoPict="0" macro="[0]!CheckboxClick">
                <anchor moveWithCells="1">
                  <from>
                    <xdr:col>4</xdr:col>
                    <xdr:colOff>1685925</xdr:colOff>
                    <xdr:row>53</xdr:row>
                    <xdr:rowOff>142875</xdr:rowOff>
                  </from>
                  <to>
                    <xdr:col>5</xdr:col>
                    <xdr:colOff>9525</xdr:colOff>
                    <xdr:row>55</xdr:row>
                    <xdr:rowOff>38100</xdr:rowOff>
                  </to>
                </anchor>
              </controlPr>
            </control>
          </mc:Choice>
        </mc:AlternateContent>
        <mc:AlternateContent xmlns:mc="http://schemas.openxmlformats.org/markup-compatibility/2006">
          <mc:Choice Requires="x14">
            <control shapeId="27731" r:id="rId85" name="Check Box 83">
              <controlPr defaultSize="0" autoFill="0" autoLine="0" autoPict="0" macro="[0]!CheckboxClick">
                <anchor moveWithCells="1">
                  <from>
                    <xdr:col>2</xdr:col>
                    <xdr:colOff>866775</xdr:colOff>
                    <xdr:row>54</xdr:row>
                    <xdr:rowOff>133350</xdr:rowOff>
                  </from>
                  <to>
                    <xdr:col>3</xdr:col>
                    <xdr:colOff>57150</xdr:colOff>
                    <xdr:row>56</xdr:row>
                    <xdr:rowOff>28575</xdr:rowOff>
                  </to>
                </anchor>
              </controlPr>
            </control>
          </mc:Choice>
        </mc:AlternateContent>
        <mc:AlternateContent xmlns:mc="http://schemas.openxmlformats.org/markup-compatibility/2006">
          <mc:Choice Requires="x14">
            <control shapeId="27732" r:id="rId86" name="Check Box 84">
              <controlPr defaultSize="0" autoFill="0" autoLine="0" autoPict="0" macro="[0]!CheckboxClick">
                <anchor moveWithCells="1">
                  <from>
                    <xdr:col>6</xdr:col>
                    <xdr:colOff>1028700</xdr:colOff>
                    <xdr:row>54</xdr:row>
                    <xdr:rowOff>133350</xdr:rowOff>
                  </from>
                  <to>
                    <xdr:col>7</xdr:col>
                    <xdr:colOff>0</xdr:colOff>
                    <xdr:row>56</xdr:row>
                    <xdr:rowOff>28575</xdr:rowOff>
                  </to>
                </anchor>
              </controlPr>
            </control>
          </mc:Choice>
        </mc:AlternateContent>
        <mc:AlternateContent xmlns:mc="http://schemas.openxmlformats.org/markup-compatibility/2006">
          <mc:Choice Requires="x14">
            <control shapeId="27733" r:id="rId87" name="Check Box 85">
              <controlPr defaultSize="0" autoFill="0" autoLine="0" autoPict="0" macro="[0]!CheckboxClick">
                <anchor moveWithCells="1">
                  <from>
                    <xdr:col>4</xdr:col>
                    <xdr:colOff>1685925</xdr:colOff>
                    <xdr:row>54</xdr:row>
                    <xdr:rowOff>133350</xdr:rowOff>
                  </from>
                  <to>
                    <xdr:col>5</xdr:col>
                    <xdr:colOff>9525</xdr:colOff>
                    <xdr:row>56</xdr:row>
                    <xdr:rowOff>28575</xdr:rowOff>
                  </to>
                </anchor>
              </controlPr>
            </control>
          </mc:Choice>
        </mc:AlternateContent>
        <mc:AlternateContent xmlns:mc="http://schemas.openxmlformats.org/markup-compatibility/2006">
          <mc:Choice Requires="x14">
            <control shapeId="27734" r:id="rId88" name="Check Box 86">
              <controlPr defaultSize="0" autoFill="0" autoLine="0" autoPict="0" macro="[0]!CheckboxClick">
                <anchor moveWithCells="1">
                  <from>
                    <xdr:col>2</xdr:col>
                    <xdr:colOff>866775</xdr:colOff>
                    <xdr:row>55</xdr:row>
                    <xdr:rowOff>133350</xdr:rowOff>
                  </from>
                  <to>
                    <xdr:col>3</xdr:col>
                    <xdr:colOff>57150</xdr:colOff>
                    <xdr:row>57</xdr:row>
                    <xdr:rowOff>28575</xdr:rowOff>
                  </to>
                </anchor>
              </controlPr>
            </control>
          </mc:Choice>
        </mc:AlternateContent>
        <mc:AlternateContent xmlns:mc="http://schemas.openxmlformats.org/markup-compatibility/2006">
          <mc:Choice Requires="x14">
            <control shapeId="27735" r:id="rId89" name="Check Box 87">
              <controlPr defaultSize="0" autoFill="0" autoLine="0" autoPict="0" macro="[0]!CheckboxClick">
                <anchor moveWithCells="1">
                  <from>
                    <xdr:col>6</xdr:col>
                    <xdr:colOff>1028700</xdr:colOff>
                    <xdr:row>55</xdr:row>
                    <xdr:rowOff>133350</xdr:rowOff>
                  </from>
                  <to>
                    <xdr:col>7</xdr:col>
                    <xdr:colOff>9525</xdr:colOff>
                    <xdr:row>57</xdr:row>
                    <xdr:rowOff>28575</xdr:rowOff>
                  </to>
                </anchor>
              </controlPr>
            </control>
          </mc:Choice>
        </mc:AlternateContent>
        <mc:AlternateContent xmlns:mc="http://schemas.openxmlformats.org/markup-compatibility/2006">
          <mc:Choice Requires="x14">
            <control shapeId="27736" r:id="rId90" name="Check Box 88">
              <controlPr defaultSize="0" autoFill="0" autoLine="0" autoPict="0" macro="[0]!CheckboxClick">
                <anchor moveWithCells="1">
                  <from>
                    <xdr:col>4</xdr:col>
                    <xdr:colOff>1685925</xdr:colOff>
                    <xdr:row>55</xdr:row>
                    <xdr:rowOff>133350</xdr:rowOff>
                  </from>
                  <to>
                    <xdr:col>5</xdr:col>
                    <xdr:colOff>9525</xdr:colOff>
                    <xdr:row>57</xdr:row>
                    <xdr:rowOff>28575</xdr:rowOff>
                  </to>
                </anchor>
              </controlPr>
            </control>
          </mc:Choice>
        </mc:AlternateContent>
        <mc:AlternateContent xmlns:mc="http://schemas.openxmlformats.org/markup-compatibility/2006">
          <mc:Choice Requires="x14">
            <control shapeId="27737" r:id="rId91" name="Check Box 89">
              <controlPr defaultSize="0" autoFill="0" autoLine="0" autoPict="0" macro="[0]!CheckboxClick">
                <anchor moveWithCells="1">
                  <from>
                    <xdr:col>2</xdr:col>
                    <xdr:colOff>866775</xdr:colOff>
                    <xdr:row>56</xdr:row>
                    <xdr:rowOff>133350</xdr:rowOff>
                  </from>
                  <to>
                    <xdr:col>3</xdr:col>
                    <xdr:colOff>57150</xdr:colOff>
                    <xdr:row>58</xdr:row>
                    <xdr:rowOff>28575</xdr:rowOff>
                  </to>
                </anchor>
              </controlPr>
            </control>
          </mc:Choice>
        </mc:AlternateContent>
        <mc:AlternateContent xmlns:mc="http://schemas.openxmlformats.org/markup-compatibility/2006">
          <mc:Choice Requires="x14">
            <control shapeId="27738" r:id="rId92" name="Check Box 90">
              <controlPr defaultSize="0" autoFill="0" autoLine="0" autoPict="0" macro="[0]!CheckboxClick">
                <anchor moveWithCells="1">
                  <from>
                    <xdr:col>6</xdr:col>
                    <xdr:colOff>1028700</xdr:colOff>
                    <xdr:row>56</xdr:row>
                    <xdr:rowOff>133350</xdr:rowOff>
                  </from>
                  <to>
                    <xdr:col>7</xdr:col>
                    <xdr:colOff>9525</xdr:colOff>
                    <xdr:row>58</xdr:row>
                    <xdr:rowOff>28575</xdr:rowOff>
                  </to>
                </anchor>
              </controlPr>
            </control>
          </mc:Choice>
        </mc:AlternateContent>
        <mc:AlternateContent xmlns:mc="http://schemas.openxmlformats.org/markup-compatibility/2006">
          <mc:Choice Requires="x14">
            <control shapeId="27739" r:id="rId93" name="Check Box 91">
              <controlPr defaultSize="0" autoFill="0" autoLine="0" autoPict="0" macro="[0]!CheckboxClick">
                <anchor moveWithCells="1">
                  <from>
                    <xdr:col>4</xdr:col>
                    <xdr:colOff>1685925</xdr:colOff>
                    <xdr:row>56</xdr:row>
                    <xdr:rowOff>133350</xdr:rowOff>
                  </from>
                  <to>
                    <xdr:col>5</xdr:col>
                    <xdr:colOff>9525</xdr:colOff>
                    <xdr:row>58</xdr:row>
                    <xdr:rowOff>28575</xdr:rowOff>
                  </to>
                </anchor>
              </controlPr>
            </control>
          </mc:Choice>
        </mc:AlternateContent>
        <mc:AlternateContent xmlns:mc="http://schemas.openxmlformats.org/markup-compatibility/2006">
          <mc:Choice Requires="x14">
            <control shapeId="27740" r:id="rId94" name="Check Box 92">
              <controlPr defaultSize="0" autoFill="0" autoLine="0" autoPict="0" macro="[0]!CheckboxClick">
                <anchor moveWithCells="1">
                  <from>
                    <xdr:col>2</xdr:col>
                    <xdr:colOff>866775</xdr:colOff>
                    <xdr:row>57</xdr:row>
                    <xdr:rowOff>133350</xdr:rowOff>
                  </from>
                  <to>
                    <xdr:col>3</xdr:col>
                    <xdr:colOff>57150</xdr:colOff>
                    <xdr:row>59</xdr:row>
                    <xdr:rowOff>28575</xdr:rowOff>
                  </to>
                </anchor>
              </controlPr>
            </control>
          </mc:Choice>
        </mc:AlternateContent>
        <mc:AlternateContent xmlns:mc="http://schemas.openxmlformats.org/markup-compatibility/2006">
          <mc:Choice Requires="x14">
            <control shapeId="27741" r:id="rId95" name="Check Box 93">
              <controlPr defaultSize="0" autoFill="0" autoLine="0" autoPict="0" macro="[0]!CheckboxClick">
                <anchor moveWithCells="1">
                  <from>
                    <xdr:col>6</xdr:col>
                    <xdr:colOff>1028700</xdr:colOff>
                    <xdr:row>57</xdr:row>
                    <xdr:rowOff>133350</xdr:rowOff>
                  </from>
                  <to>
                    <xdr:col>7</xdr:col>
                    <xdr:colOff>9525</xdr:colOff>
                    <xdr:row>59</xdr:row>
                    <xdr:rowOff>28575</xdr:rowOff>
                  </to>
                </anchor>
              </controlPr>
            </control>
          </mc:Choice>
        </mc:AlternateContent>
        <mc:AlternateContent xmlns:mc="http://schemas.openxmlformats.org/markup-compatibility/2006">
          <mc:Choice Requires="x14">
            <control shapeId="27742" r:id="rId96" name="Check Box 94">
              <controlPr defaultSize="0" autoFill="0" autoLine="0" autoPict="0" macro="[0]!CheckboxClick">
                <anchor moveWithCells="1">
                  <from>
                    <xdr:col>4</xdr:col>
                    <xdr:colOff>1685925</xdr:colOff>
                    <xdr:row>57</xdr:row>
                    <xdr:rowOff>133350</xdr:rowOff>
                  </from>
                  <to>
                    <xdr:col>5</xdr:col>
                    <xdr:colOff>9525</xdr:colOff>
                    <xdr:row>59</xdr:row>
                    <xdr:rowOff>28575</xdr:rowOff>
                  </to>
                </anchor>
              </controlPr>
            </control>
          </mc:Choice>
        </mc:AlternateContent>
        <mc:AlternateContent xmlns:mc="http://schemas.openxmlformats.org/markup-compatibility/2006">
          <mc:Choice Requires="x14">
            <control shapeId="27743" r:id="rId97" name="Check Box 95">
              <controlPr defaultSize="0" autoFill="0" autoLine="0" autoPict="0" macro="[0]!CheckboxClick">
                <anchor moveWithCells="1">
                  <from>
                    <xdr:col>2</xdr:col>
                    <xdr:colOff>866775</xdr:colOff>
                    <xdr:row>58</xdr:row>
                    <xdr:rowOff>133350</xdr:rowOff>
                  </from>
                  <to>
                    <xdr:col>3</xdr:col>
                    <xdr:colOff>57150</xdr:colOff>
                    <xdr:row>60</xdr:row>
                    <xdr:rowOff>28575</xdr:rowOff>
                  </to>
                </anchor>
              </controlPr>
            </control>
          </mc:Choice>
        </mc:AlternateContent>
        <mc:AlternateContent xmlns:mc="http://schemas.openxmlformats.org/markup-compatibility/2006">
          <mc:Choice Requires="x14">
            <control shapeId="27744" r:id="rId98" name="Check Box 96">
              <controlPr defaultSize="0" autoFill="0" autoLine="0" autoPict="0" macro="[0]!CheckboxClick">
                <anchor moveWithCells="1">
                  <from>
                    <xdr:col>6</xdr:col>
                    <xdr:colOff>1028700</xdr:colOff>
                    <xdr:row>58</xdr:row>
                    <xdr:rowOff>133350</xdr:rowOff>
                  </from>
                  <to>
                    <xdr:col>7</xdr:col>
                    <xdr:colOff>9525</xdr:colOff>
                    <xdr:row>60</xdr:row>
                    <xdr:rowOff>28575</xdr:rowOff>
                  </to>
                </anchor>
              </controlPr>
            </control>
          </mc:Choice>
        </mc:AlternateContent>
        <mc:AlternateContent xmlns:mc="http://schemas.openxmlformats.org/markup-compatibility/2006">
          <mc:Choice Requires="x14">
            <control shapeId="27745" r:id="rId99" name="Check Box 97">
              <controlPr defaultSize="0" autoFill="0" autoLine="0" autoPict="0" macro="[0]!CheckboxClick">
                <anchor moveWithCells="1">
                  <from>
                    <xdr:col>4</xdr:col>
                    <xdr:colOff>1685925</xdr:colOff>
                    <xdr:row>58</xdr:row>
                    <xdr:rowOff>133350</xdr:rowOff>
                  </from>
                  <to>
                    <xdr:col>5</xdr:col>
                    <xdr:colOff>9525</xdr:colOff>
                    <xdr:row>60</xdr:row>
                    <xdr:rowOff>28575</xdr:rowOff>
                  </to>
                </anchor>
              </controlPr>
            </control>
          </mc:Choice>
        </mc:AlternateContent>
        <mc:AlternateContent xmlns:mc="http://schemas.openxmlformats.org/markup-compatibility/2006">
          <mc:Choice Requires="x14">
            <control shapeId="27746" r:id="rId100" name="Check Box 98">
              <controlPr defaultSize="0" autoFill="0" autoLine="0" autoPict="0" macro="[0]!CheckboxClick">
                <anchor moveWithCells="1">
                  <from>
                    <xdr:col>2</xdr:col>
                    <xdr:colOff>866775</xdr:colOff>
                    <xdr:row>59</xdr:row>
                    <xdr:rowOff>133350</xdr:rowOff>
                  </from>
                  <to>
                    <xdr:col>3</xdr:col>
                    <xdr:colOff>57150</xdr:colOff>
                    <xdr:row>61</xdr:row>
                    <xdr:rowOff>28575</xdr:rowOff>
                  </to>
                </anchor>
              </controlPr>
            </control>
          </mc:Choice>
        </mc:AlternateContent>
        <mc:AlternateContent xmlns:mc="http://schemas.openxmlformats.org/markup-compatibility/2006">
          <mc:Choice Requires="x14">
            <control shapeId="27747" r:id="rId101" name="Check Box 99">
              <controlPr defaultSize="0" autoFill="0" autoLine="0" autoPict="0" macro="[0]!CheckboxClick">
                <anchor moveWithCells="1">
                  <from>
                    <xdr:col>6</xdr:col>
                    <xdr:colOff>1028700</xdr:colOff>
                    <xdr:row>59</xdr:row>
                    <xdr:rowOff>133350</xdr:rowOff>
                  </from>
                  <to>
                    <xdr:col>7</xdr:col>
                    <xdr:colOff>9525</xdr:colOff>
                    <xdr:row>61</xdr:row>
                    <xdr:rowOff>28575</xdr:rowOff>
                  </to>
                </anchor>
              </controlPr>
            </control>
          </mc:Choice>
        </mc:AlternateContent>
        <mc:AlternateContent xmlns:mc="http://schemas.openxmlformats.org/markup-compatibility/2006">
          <mc:Choice Requires="x14">
            <control shapeId="27748" r:id="rId102" name="Check Box 100">
              <controlPr defaultSize="0" autoFill="0" autoLine="0" autoPict="0" macro="[0]!CheckboxClick">
                <anchor moveWithCells="1">
                  <from>
                    <xdr:col>4</xdr:col>
                    <xdr:colOff>1685925</xdr:colOff>
                    <xdr:row>59</xdr:row>
                    <xdr:rowOff>133350</xdr:rowOff>
                  </from>
                  <to>
                    <xdr:col>5</xdr:col>
                    <xdr:colOff>9525</xdr:colOff>
                    <xdr:row>61</xdr:row>
                    <xdr:rowOff>28575</xdr:rowOff>
                  </to>
                </anchor>
              </controlPr>
            </control>
          </mc:Choice>
        </mc:AlternateContent>
        <mc:AlternateContent xmlns:mc="http://schemas.openxmlformats.org/markup-compatibility/2006">
          <mc:Choice Requires="x14">
            <control shapeId="27749" r:id="rId103" name="Check Box 101">
              <controlPr defaultSize="0" autoFill="0" autoLine="0" autoPict="0" macro="[0]!CheckboxClick">
                <anchor moveWithCells="1">
                  <from>
                    <xdr:col>2</xdr:col>
                    <xdr:colOff>866775</xdr:colOff>
                    <xdr:row>60</xdr:row>
                    <xdr:rowOff>133350</xdr:rowOff>
                  </from>
                  <to>
                    <xdr:col>3</xdr:col>
                    <xdr:colOff>57150</xdr:colOff>
                    <xdr:row>62</xdr:row>
                    <xdr:rowOff>28575</xdr:rowOff>
                  </to>
                </anchor>
              </controlPr>
            </control>
          </mc:Choice>
        </mc:AlternateContent>
        <mc:AlternateContent xmlns:mc="http://schemas.openxmlformats.org/markup-compatibility/2006">
          <mc:Choice Requires="x14">
            <control shapeId="27750" r:id="rId104" name="Check Box 102">
              <controlPr defaultSize="0" autoFill="0" autoLine="0" autoPict="0" macro="[0]!CheckboxClick">
                <anchor moveWithCells="1">
                  <from>
                    <xdr:col>6</xdr:col>
                    <xdr:colOff>1028700</xdr:colOff>
                    <xdr:row>60</xdr:row>
                    <xdr:rowOff>133350</xdr:rowOff>
                  </from>
                  <to>
                    <xdr:col>7</xdr:col>
                    <xdr:colOff>9525</xdr:colOff>
                    <xdr:row>62</xdr:row>
                    <xdr:rowOff>28575</xdr:rowOff>
                  </to>
                </anchor>
              </controlPr>
            </control>
          </mc:Choice>
        </mc:AlternateContent>
        <mc:AlternateContent xmlns:mc="http://schemas.openxmlformats.org/markup-compatibility/2006">
          <mc:Choice Requires="x14">
            <control shapeId="27751" r:id="rId105" name="Check Box 103">
              <controlPr defaultSize="0" autoFill="0" autoLine="0" autoPict="0" macro="[0]!CheckboxClick">
                <anchor moveWithCells="1">
                  <from>
                    <xdr:col>4</xdr:col>
                    <xdr:colOff>1685925</xdr:colOff>
                    <xdr:row>60</xdr:row>
                    <xdr:rowOff>133350</xdr:rowOff>
                  </from>
                  <to>
                    <xdr:col>5</xdr:col>
                    <xdr:colOff>9525</xdr:colOff>
                    <xdr:row>62</xdr:row>
                    <xdr:rowOff>28575</xdr:rowOff>
                  </to>
                </anchor>
              </controlPr>
            </control>
          </mc:Choice>
        </mc:AlternateContent>
        <mc:AlternateContent xmlns:mc="http://schemas.openxmlformats.org/markup-compatibility/2006">
          <mc:Choice Requires="x14">
            <control shapeId="27752" r:id="rId106" name="Check Box 104">
              <controlPr defaultSize="0" autoFill="0" autoLine="0" autoPict="0" macro="[0]!CheckboxClick">
                <anchor moveWithCells="1">
                  <from>
                    <xdr:col>2</xdr:col>
                    <xdr:colOff>866775</xdr:colOff>
                    <xdr:row>61</xdr:row>
                    <xdr:rowOff>133350</xdr:rowOff>
                  </from>
                  <to>
                    <xdr:col>3</xdr:col>
                    <xdr:colOff>57150</xdr:colOff>
                    <xdr:row>63</xdr:row>
                    <xdr:rowOff>28575</xdr:rowOff>
                  </to>
                </anchor>
              </controlPr>
            </control>
          </mc:Choice>
        </mc:AlternateContent>
        <mc:AlternateContent xmlns:mc="http://schemas.openxmlformats.org/markup-compatibility/2006">
          <mc:Choice Requires="x14">
            <control shapeId="27753" r:id="rId107" name="Check Box 105">
              <controlPr defaultSize="0" autoFill="0" autoLine="0" autoPict="0" macro="[0]!CheckboxClick">
                <anchor moveWithCells="1">
                  <from>
                    <xdr:col>6</xdr:col>
                    <xdr:colOff>1028700</xdr:colOff>
                    <xdr:row>61</xdr:row>
                    <xdr:rowOff>133350</xdr:rowOff>
                  </from>
                  <to>
                    <xdr:col>7</xdr:col>
                    <xdr:colOff>9525</xdr:colOff>
                    <xdr:row>63</xdr:row>
                    <xdr:rowOff>28575</xdr:rowOff>
                  </to>
                </anchor>
              </controlPr>
            </control>
          </mc:Choice>
        </mc:AlternateContent>
        <mc:AlternateContent xmlns:mc="http://schemas.openxmlformats.org/markup-compatibility/2006">
          <mc:Choice Requires="x14">
            <control shapeId="27754" r:id="rId108" name="Check Box 106">
              <controlPr defaultSize="0" autoFill="0" autoLine="0" autoPict="0" macro="[0]!CheckboxClick">
                <anchor moveWithCells="1">
                  <from>
                    <xdr:col>4</xdr:col>
                    <xdr:colOff>1685925</xdr:colOff>
                    <xdr:row>61</xdr:row>
                    <xdr:rowOff>133350</xdr:rowOff>
                  </from>
                  <to>
                    <xdr:col>5</xdr:col>
                    <xdr:colOff>9525</xdr:colOff>
                    <xdr:row>63</xdr:row>
                    <xdr:rowOff>28575</xdr:rowOff>
                  </to>
                </anchor>
              </controlPr>
            </control>
          </mc:Choice>
        </mc:AlternateContent>
        <mc:AlternateContent xmlns:mc="http://schemas.openxmlformats.org/markup-compatibility/2006">
          <mc:Choice Requires="x14">
            <control shapeId="27755" r:id="rId109" name="Check Box 107">
              <controlPr defaultSize="0" autoFill="0" autoLine="0" autoPict="0" macro="[0]!CheckboxClick">
                <anchor moveWithCells="1">
                  <from>
                    <xdr:col>2</xdr:col>
                    <xdr:colOff>866775</xdr:colOff>
                    <xdr:row>62</xdr:row>
                    <xdr:rowOff>133350</xdr:rowOff>
                  </from>
                  <to>
                    <xdr:col>3</xdr:col>
                    <xdr:colOff>57150</xdr:colOff>
                    <xdr:row>64</xdr:row>
                    <xdr:rowOff>28575</xdr:rowOff>
                  </to>
                </anchor>
              </controlPr>
            </control>
          </mc:Choice>
        </mc:AlternateContent>
        <mc:AlternateContent xmlns:mc="http://schemas.openxmlformats.org/markup-compatibility/2006">
          <mc:Choice Requires="x14">
            <control shapeId="27756" r:id="rId110" name="Check Box 108">
              <controlPr defaultSize="0" autoFill="0" autoLine="0" autoPict="0" macro="[0]!CheckboxClick">
                <anchor moveWithCells="1">
                  <from>
                    <xdr:col>6</xdr:col>
                    <xdr:colOff>1028700</xdr:colOff>
                    <xdr:row>62</xdr:row>
                    <xdr:rowOff>133350</xdr:rowOff>
                  </from>
                  <to>
                    <xdr:col>7</xdr:col>
                    <xdr:colOff>9525</xdr:colOff>
                    <xdr:row>64</xdr:row>
                    <xdr:rowOff>28575</xdr:rowOff>
                  </to>
                </anchor>
              </controlPr>
            </control>
          </mc:Choice>
        </mc:AlternateContent>
        <mc:AlternateContent xmlns:mc="http://schemas.openxmlformats.org/markup-compatibility/2006">
          <mc:Choice Requires="x14">
            <control shapeId="27757" r:id="rId111" name="Check Box 109">
              <controlPr defaultSize="0" autoFill="0" autoLine="0" autoPict="0" macro="[0]!CheckboxClick">
                <anchor moveWithCells="1">
                  <from>
                    <xdr:col>4</xdr:col>
                    <xdr:colOff>1685925</xdr:colOff>
                    <xdr:row>62</xdr:row>
                    <xdr:rowOff>133350</xdr:rowOff>
                  </from>
                  <to>
                    <xdr:col>5</xdr:col>
                    <xdr:colOff>9525</xdr:colOff>
                    <xdr:row>64</xdr:row>
                    <xdr:rowOff>28575</xdr:rowOff>
                  </to>
                </anchor>
              </controlPr>
            </control>
          </mc:Choice>
        </mc:AlternateContent>
        <mc:AlternateContent xmlns:mc="http://schemas.openxmlformats.org/markup-compatibility/2006">
          <mc:Choice Requires="x14">
            <control shapeId="27758" r:id="rId112" name="Check Box 110">
              <controlPr defaultSize="0" autoFill="0" autoLine="0" autoPict="0" macro="[0]!CheckboxClick">
                <anchor moveWithCells="1">
                  <from>
                    <xdr:col>2</xdr:col>
                    <xdr:colOff>866775</xdr:colOff>
                    <xdr:row>63</xdr:row>
                    <xdr:rowOff>133350</xdr:rowOff>
                  </from>
                  <to>
                    <xdr:col>3</xdr:col>
                    <xdr:colOff>57150</xdr:colOff>
                    <xdr:row>65</xdr:row>
                    <xdr:rowOff>28575</xdr:rowOff>
                  </to>
                </anchor>
              </controlPr>
            </control>
          </mc:Choice>
        </mc:AlternateContent>
        <mc:AlternateContent xmlns:mc="http://schemas.openxmlformats.org/markup-compatibility/2006">
          <mc:Choice Requires="x14">
            <control shapeId="27759" r:id="rId113" name="Check Box 111">
              <controlPr defaultSize="0" autoFill="0" autoLine="0" autoPict="0" macro="[0]!CheckboxClick">
                <anchor moveWithCells="1">
                  <from>
                    <xdr:col>6</xdr:col>
                    <xdr:colOff>1028700</xdr:colOff>
                    <xdr:row>63</xdr:row>
                    <xdr:rowOff>133350</xdr:rowOff>
                  </from>
                  <to>
                    <xdr:col>7</xdr:col>
                    <xdr:colOff>9525</xdr:colOff>
                    <xdr:row>65</xdr:row>
                    <xdr:rowOff>28575</xdr:rowOff>
                  </to>
                </anchor>
              </controlPr>
            </control>
          </mc:Choice>
        </mc:AlternateContent>
        <mc:AlternateContent xmlns:mc="http://schemas.openxmlformats.org/markup-compatibility/2006">
          <mc:Choice Requires="x14">
            <control shapeId="27760" r:id="rId114" name="Check Box 112">
              <controlPr defaultSize="0" autoFill="0" autoLine="0" autoPict="0" macro="[0]!CheckboxClick">
                <anchor moveWithCells="1">
                  <from>
                    <xdr:col>4</xdr:col>
                    <xdr:colOff>1685925</xdr:colOff>
                    <xdr:row>63</xdr:row>
                    <xdr:rowOff>133350</xdr:rowOff>
                  </from>
                  <to>
                    <xdr:col>5</xdr:col>
                    <xdr:colOff>9525</xdr:colOff>
                    <xdr:row>65</xdr:row>
                    <xdr:rowOff>28575</xdr:rowOff>
                  </to>
                </anchor>
              </controlPr>
            </control>
          </mc:Choice>
        </mc:AlternateContent>
        <mc:AlternateContent xmlns:mc="http://schemas.openxmlformats.org/markup-compatibility/2006">
          <mc:Choice Requires="x14">
            <control shapeId="27761" r:id="rId115" name="Check Box 113">
              <controlPr defaultSize="0" autoFill="0" autoLine="0" autoPict="0" macro="[0]!CheckboxClick">
                <anchor moveWithCells="1">
                  <from>
                    <xdr:col>2</xdr:col>
                    <xdr:colOff>866775</xdr:colOff>
                    <xdr:row>64</xdr:row>
                    <xdr:rowOff>133350</xdr:rowOff>
                  </from>
                  <to>
                    <xdr:col>3</xdr:col>
                    <xdr:colOff>57150</xdr:colOff>
                    <xdr:row>66</xdr:row>
                    <xdr:rowOff>28575</xdr:rowOff>
                  </to>
                </anchor>
              </controlPr>
            </control>
          </mc:Choice>
        </mc:AlternateContent>
        <mc:AlternateContent xmlns:mc="http://schemas.openxmlformats.org/markup-compatibility/2006">
          <mc:Choice Requires="x14">
            <control shapeId="27762" r:id="rId116" name="Check Box 114">
              <controlPr defaultSize="0" autoFill="0" autoLine="0" autoPict="0" macro="[0]!CheckboxClick">
                <anchor moveWithCells="1">
                  <from>
                    <xdr:col>6</xdr:col>
                    <xdr:colOff>1028700</xdr:colOff>
                    <xdr:row>64</xdr:row>
                    <xdr:rowOff>133350</xdr:rowOff>
                  </from>
                  <to>
                    <xdr:col>7</xdr:col>
                    <xdr:colOff>9525</xdr:colOff>
                    <xdr:row>66</xdr:row>
                    <xdr:rowOff>28575</xdr:rowOff>
                  </to>
                </anchor>
              </controlPr>
            </control>
          </mc:Choice>
        </mc:AlternateContent>
        <mc:AlternateContent xmlns:mc="http://schemas.openxmlformats.org/markup-compatibility/2006">
          <mc:Choice Requires="x14">
            <control shapeId="27763" r:id="rId117" name="Check Box 115">
              <controlPr defaultSize="0" autoFill="0" autoLine="0" autoPict="0" macro="[0]!CheckboxClick">
                <anchor moveWithCells="1">
                  <from>
                    <xdr:col>4</xdr:col>
                    <xdr:colOff>1685925</xdr:colOff>
                    <xdr:row>64</xdr:row>
                    <xdr:rowOff>133350</xdr:rowOff>
                  </from>
                  <to>
                    <xdr:col>5</xdr:col>
                    <xdr:colOff>9525</xdr:colOff>
                    <xdr:row>66</xdr:row>
                    <xdr:rowOff>28575</xdr:rowOff>
                  </to>
                </anchor>
              </controlPr>
            </control>
          </mc:Choice>
        </mc:AlternateContent>
        <mc:AlternateContent xmlns:mc="http://schemas.openxmlformats.org/markup-compatibility/2006">
          <mc:Choice Requires="x14">
            <control shapeId="27764" r:id="rId118" name="Check Box 116">
              <controlPr defaultSize="0" autoFill="0" autoLine="0" autoPict="0" macro="[0]!CheckboxClick">
                <anchor moveWithCells="1">
                  <from>
                    <xdr:col>2</xdr:col>
                    <xdr:colOff>866775</xdr:colOff>
                    <xdr:row>65</xdr:row>
                    <xdr:rowOff>133350</xdr:rowOff>
                  </from>
                  <to>
                    <xdr:col>3</xdr:col>
                    <xdr:colOff>57150</xdr:colOff>
                    <xdr:row>67</xdr:row>
                    <xdr:rowOff>28575</xdr:rowOff>
                  </to>
                </anchor>
              </controlPr>
            </control>
          </mc:Choice>
        </mc:AlternateContent>
        <mc:AlternateContent xmlns:mc="http://schemas.openxmlformats.org/markup-compatibility/2006">
          <mc:Choice Requires="x14">
            <control shapeId="27765" r:id="rId119" name="Check Box 117">
              <controlPr defaultSize="0" autoFill="0" autoLine="0" autoPict="0" macro="[0]!CheckboxClick">
                <anchor moveWithCells="1">
                  <from>
                    <xdr:col>6</xdr:col>
                    <xdr:colOff>1028700</xdr:colOff>
                    <xdr:row>65</xdr:row>
                    <xdr:rowOff>133350</xdr:rowOff>
                  </from>
                  <to>
                    <xdr:col>7</xdr:col>
                    <xdr:colOff>9525</xdr:colOff>
                    <xdr:row>67</xdr:row>
                    <xdr:rowOff>28575</xdr:rowOff>
                  </to>
                </anchor>
              </controlPr>
            </control>
          </mc:Choice>
        </mc:AlternateContent>
        <mc:AlternateContent xmlns:mc="http://schemas.openxmlformats.org/markup-compatibility/2006">
          <mc:Choice Requires="x14">
            <control shapeId="27766" r:id="rId120" name="Check Box 118">
              <controlPr defaultSize="0" autoFill="0" autoLine="0" autoPict="0" macro="[0]!CheckboxClick">
                <anchor moveWithCells="1">
                  <from>
                    <xdr:col>4</xdr:col>
                    <xdr:colOff>1685925</xdr:colOff>
                    <xdr:row>65</xdr:row>
                    <xdr:rowOff>133350</xdr:rowOff>
                  </from>
                  <to>
                    <xdr:col>5</xdr:col>
                    <xdr:colOff>9525</xdr:colOff>
                    <xdr:row>67</xdr:row>
                    <xdr:rowOff>28575</xdr:rowOff>
                  </to>
                </anchor>
              </controlPr>
            </control>
          </mc:Choice>
        </mc:AlternateContent>
        <mc:AlternateContent xmlns:mc="http://schemas.openxmlformats.org/markup-compatibility/2006">
          <mc:Choice Requires="x14">
            <control shapeId="27767" r:id="rId121" name="Check Box 119">
              <controlPr defaultSize="0" autoFill="0" autoLine="0" autoPict="0" macro="[0]!CheckboxClick">
                <anchor moveWithCells="1">
                  <from>
                    <xdr:col>2</xdr:col>
                    <xdr:colOff>866775</xdr:colOff>
                    <xdr:row>52</xdr:row>
                    <xdr:rowOff>142875</xdr:rowOff>
                  </from>
                  <to>
                    <xdr:col>3</xdr:col>
                    <xdr:colOff>57150</xdr:colOff>
                    <xdr:row>54</xdr:row>
                    <xdr:rowOff>38100</xdr:rowOff>
                  </to>
                </anchor>
              </controlPr>
            </control>
          </mc:Choice>
        </mc:AlternateContent>
        <mc:AlternateContent xmlns:mc="http://schemas.openxmlformats.org/markup-compatibility/2006">
          <mc:Choice Requires="x14">
            <control shapeId="27768" r:id="rId122" name="Check Box 120">
              <controlPr defaultSize="0" autoFill="0" autoLine="0" autoPict="0" macro="[0]!CheckboxClick">
                <anchor moveWithCells="1">
                  <from>
                    <xdr:col>6</xdr:col>
                    <xdr:colOff>1028700</xdr:colOff>
                    <xdr:row>52</xdr:row>
                    <xdr:rowOff>142875</xdr:rowOff>
                  </from>
                  <to>
                    <xdr:col>7</xdr:col>
                    <xdr:colOff>0</xdr:colOff>
                    <xdr:row>54</xdr:row>
                    <xdr:rowOff>38100</xdr:rowOff>
                  </to>
                </anchor>
              </controlPr>
            </control>
          </mc:Choice>
        </mc:AlternateContent>
        <mc:AlternateContent xmlns:mc="http://schemas.openxmlformats.org/markup-compatibility/2006">
          <mc:Choice Requires="x14">
            <control shapeId="27769" r:id="rId123" name="Check Box 121">
              <controlPr defaultSize="0" autoFill="0" autoLine="0" autoPict="0" macro="[0]!CheckboxClick">
                <anchor moveWithCells="1">
                  <from>
                    <xdr:col>4</xdr:col>
                    <xdr:colOff>1685925</xdr:colOff>
                    <xdr:row>52</xdr:row>
                    <xdr:rowOff>142875</xdr:rowOff>
                  </from>
                  <to>
                    <xdr:col>5</xdr:col>
                    <xdr:colOff>9525</xdr:colOff>
                    <xdr:row>54</xdr:row>
                    <xdr:rowOff>38100</xdr:rowOff>
                  </to>
                </anchor>
              </controlPr>
            </control>
          </mc:Choice>
        </mc:AlternateContent>
        <mc:AlternateContent xmlns:mc="http://schemas.openxmlformats.org/markup-compatibility/2006">
          <mc:Choice Requires="x14">
            <control shapeId="27770" r:id="rId124" name="Check Box 122">
              <controlPr defaultSize="0" autoFill="0" autoLine="0" autoPict="0" macro="[0]!CheckboxClick">
                <anchor moveWithCells="1">
                  <from>
                    <xdr:col>2</xdr:col>
                    <xdr:colOff>866775</xdr:colOff>
                    <xdr:row>46</xdr:row>
                    <xdr:rowOff>133350</xdr:rowOff>
                  </from>
                  <to>
                    <xdr:col>3</xdr:col>
                    <xdr:colOff>57150</xdr:colOff>
                    <xdr:row>48</xdr:row>
                    <xdr:rowOff>28575</xdr:rowOff>
                  </to>
                </anchor>
              </controlPr>
            </control>
          </mc:Choice>
        </mc:AlternateContent>
        <mc:AlternateContent xmlns:mc="http://schemas.openxmlformats.org/markup-compatibility/2006">
          <mc:Choice Requires="x14">
            <control shapeId="27771" r:id="rId125" name="Check Box 123">
              <controlPr defaultSize="0" autoFill="0" autoLine="0" autoPict="0" macro="[0]!CheckboxClick">
                <anchor moveWithCells="1">
                  <from>
                    <xdr:col>6</xdr:col>
                    <xdr:colOff>1028700</xdr:colOff>
                    <xdr:row>46</xdr:row>
                    <xdr:rowOff>133350</xdr:rowOff>
                  </from>
                  <to>
                    <xdr:col>7</xdr:col>
                    <xdr:colOff>0</xdr:colOff>
                    <xdr:row>48</xdr:row>
                    <xdr:rowOff>28575</xdr:rowOff>
                  </to>
                </anchor>
              </controlPr>
            </control>
          </mc:Choice>
        </mc:AlternateContent>
        <mc:AlternateContent xmlns:mc="http://schemas.openxmlformats.org/markup-compatibility/2006">
          <mc:Choice Requires="x14">
            <control shapeId="27772" r:id="rId126" name="Check Box 124">
              <controlPr defaultSize="0" autoFill="0" autoLine="0" autoPict="0" macro="[0]!CheckboxClick">
                <anchor moveWithCells="1">
                  <from>
                    <xdr:col>4</xdr:col>
                    <xdr:colOff>1685925</xdr:colOff>
                    <xdr:row>46</xdr:row>
                    <xdr:rowOff>133350</xdr:rowOff>
                  </from>
                  <to>
                    <xdr:col>5</xdr:col>
                    <xdr:colOff>9525</xdr:colOff>
                    <xdr:row>48</xdr:row>
                    <xdr:rowOff>28575</xdr:rowOff>
                  </to>
                </anchor>
              </controlPr>
            </control>
          </mc:Choice>
        </mc:AlternateContent>
        <mc:AlternateContent xmlns:mc="http://schemas.openxmlformats.org/markup-compatibility/2006">
          <mc:Choice Requires="x14">
            <control shapeId="27773" r:id="rId127" name="Check Box 125">
              <controlPr defaultSize="0" autoFill="0" autoLine="0" autoPict="0" macro="[0]!CheckboxClick">
                <anchor moveWithCells="1">
                  <from>
                    <xdr:col>2</xdr:col>
                    <xdr:colOff>866775</xdr:colOff>
                    <xdr:row>50</xdr:row>
                    <xdr:rowOff>133350</xdr:rowOff>
                  </from>
                  <to>
                    <xdr:col>3</xdr:col>
                    <xdr:colOff>57150</xdr:colOff>
                    <xdr:row>52</xdr:row>
                    <xdr:rowOff>28575</xdr:rowOff>
                  </to>
                </anchor>
              </controlPr>
            </control>
          </mc:Choice>
        </mc:AlternateContent>
        <mc:AlternateContent xmlns:mc="http://schemas.openxmlformats.org/markup-compatibility/2006">
          <mc:Choice Requires="x14">
            <control shapeId="27774" r:id="rId128" name="Check Box 126">
              <controlPr defaultSize="0" autoFill="0" autoLine="0" autoPict="0" macro="[0]!CheckboxClick">
                <anchor moveWithCells="1">
                  <from>
                    <xdr:col>6</xdr:col>
                    <xdr:colOff>1028700</xdr:colOff>
                    <xdr:row>50</xdr:row>
                    <xdr:rowOff>133350</xdr:rowOff>
                  </from>
                  <to>
                    <xdr:col>7</xdr:col>
                    <xdr:colOff>9525</xdr:colOff>
                    <xdr:row>52</xdr:row>
                    <xdr:rowOff>28575</xdr:rowOff>
                  </to>
                </anchor>
              </controlPr>
            </control>
          </mc:Choice>
        </mc:AlternateContent>
        <mc:AlternateContent xmlns:mc="http://schemas.openxmlformats.org/markup-compatibility/2006">
          <mc:Choice Requires="x14">
            <control shapeId="27775" r:id="rId129" name="Check Box 127">
              <controlPr defaultSize="0" autoFill="0" autoLine="0" autoPict="0" macro="[0]!CheckboxClick">
                <anchor moveWithCells="1">
                  <from>
                    <xdr:col>4</xdr:col>
                    <xdr:colOff>1685925</xdr:colOff>
                    <xdr:row>50</xdr:row>
                    <xdr:rowOff>133350</xdr:rowOff>
                  </from>
                  <to>
                    <xdr:col>5</xdr:col>
                    <xdr:colOff>9525</xdr:colOff>
                    <xdr:row>52</xdr:row>
                    <xdr:rowOff>28575</xdr:rowOff>
                  </to>
                </anchor>
              </controlPr>
            </control>
          </mc:Choice>
        </mc:AlternateContent>
        <mc:AlternateContent xmlns:mc="http://schemas.openxmlformats.org/markup-compatibility/2006">
          <mc:Choice Requires="x14">
            <control shapeId="27776" r:id="rId130" name="Check Box 128">
              <controlPr defaultSize="0" autoFill="0" autoLine="0" autoPict="0" macro="[0]!CheckboxClick">
                <anchor moveWithCells="1">
                  <from>
                    <xdr:col>2</xdr:col>
                    <xdr:colOff>866775</xdr:colOff>
                    <xdr:row>51</xdr:row>
                    <xdr:rowOff>133350</xdr:rowOff>
                  </from>
                  <to>
                    <xdr:col>3</xdr:col>
                    <xdr:colOff>57150</xdr:colOff>
                    <xdr:row>53</xdr:row>
                    <xdr:rowOff>28575</xdr:rowOff>
                  </to>
                </anchor>
              </controlPr>
            </control>
          </mc:Choice>
        </mc:AlternateContent>
        <mc:AlternateContent xmlns:mc="http://schemas.openxmlformats.org/markup-compatibility/2006">
          <mc:Choice Requires="x14">
            <control shapeId="27777" r:id="rId131" name="Check Box 129">
              <controlPr defaultSize="0" autoFill="0" autoLine="0" autoPict="0" macro="[0]!CheckboxClick">
                <anchor moveWithCells="1">
                  <from>
                    <xdr:col>6</xdr:col>
                    <xdr:colOff>1028700</xdr:colOff>
                    <xdr:row>51</xdr:row>
                    <xdr:rowOff>133350</xdr:rowOff>
                  </from>
                  <to>
                    <xdr:col>7</xdr:col>
                    <xdr:colOff>9525</xdr:colOff>
                    <xdr:row>53</xdr:row>
                    <xdr:rowOff>28575</xdr:rowOff>
                  </to>
                </anchor>
              </controlPr>
            </control>
          </mc:Choice>
        </mc:AlternateContent>
        <mc:AlternateContent xmlns:mc="http://schemas.openxmlformats.org/markup-compatibility/2006">
          <mc:Choice Requires="x14">
            <control shapeId="27778" r:id="rId132" name="Check Box 130">
              <controlPr defaultSize="0" autoFill="0" autoLine="0" autoPict="0" macro="[0]!CheckboxClick">
                <anchor moveWithCells="1">
                  <from>
                    <xdr:col>4</xdr:col>
                    <xdr:colOff>1685925</xdr:colOff>
                    <xdr:row>51</xdr:row>
                    <xdr:rowOff>133350</xdr:rowOff>
                  </from>
                  <to>
                    <xdr:col>5</xdr:col>
                    <xdr:colOff>9525</xdr:colOff>
                    <xdr:row>53</xdr:row>
                    <xdr:rowOff>28575</xdr:rowOff>
                  </to>
                </anchor>
              </controlPr>
            </control>
          </mc:Choice>
        </mc:AlternateContent>
        <mc:AlternateContent xmlns:mc="http://schemas.openxmlformats.org/markup-compatibility/2006">
          <mc:Choice Requires="x14">
            <control shapeId="27779" r:id="rId133" name="Check Box 131">
              <controlPr defaultSize="0" autoFill="0" autoLine="0" autoPict="0" macro="[0]!CheckboxClick">
                <anchor moveWithCells="1">
                  <from>
                    <xdr:col>2</xdr:col>
                    <xdr:colOff>866775</xdr:colOff>
                    <xdr:row>68</xdr:row>
                    <xdr:rowOff>133350</xdr:rowOff>
                  </from>
                  <to>
                    <xdr:col>3</xdr:col>
                    <xdr:colOff>57150</xdr:colOff>
                    <xdr:row>70</xdr:row>
                    <xdr:rowOff>38100</xdr:rowOff>
                  </to>
                </anchor>
              </controlPr>
            </control>
          </mc:Choice>
        </mc:AlternateContent>
        <mc:AlternateContent xmlns:mc="http://schemas.openxmlformats.org/markup-compatibility/2006">
          <mc:Choice Requires="x14">
            <control shapeId="27780" r:id="rId134" name="Check Box 132">
              <controlPr defaultSize="0" autoFill="0" autoLine="0" autoPict="0" macro="[0]!CheckboxClick">
                <anchor moveWithCells="1">
                  <from>
                    <xdr:col>6</xdr:col>
                    <xdr:colOff>1028700</xdr:colOff>
                    <xdr:row>68</xdr:row>
                    <xdr:rowOff>133350</xdr:rowOff>
                  </from>
                  <to>
                    <xdr:col>7</xdr:col>
                    <xdr:colOff>9525</xdr:colOff>
                    <xdr:row>70</xdr:row>
                    <xdr:rowOff>38100</xdr:rowOff>
                  </to>
                </anchor>
              </controlPr>
            </control>
          </mc:Choice>
        </mc:AlternateContent>
        <mc:AlternateContent xmlns:mc="http://schemas.openxmlformats.org/markup-compatibility/2006">
          <mc:Choice Requires="x14">
            <control shapeId="27781" r:id="rId135" name="Check Box 133">
              <controlPr defaultSize="0" autoFill="0" autoLine="0" autoPict="0" macro="[0]!CheckboxClick">
                <anchor moveWithCells="1">
                  <from>
                    <xdr:col>4</xdr:col>
                    <xdr:colOff>1685925</xdr:colOff>
                    <xdr:row>68</xdr:row>
                    <xdr:rowOff>133350</xdr:rowOff>
                  </from>
                  <to>
                    <xdr:col>5</xdr:col>
                    <xdr:colOff>9525</xdr:colOff>
                    <xdr:row>70</xdr:row>
                    <xdr:rowOff>38100</xdr:rowOff>
                  </to>
                </anchor>
              </controlPr>
            </control>
          </mc:Choice>
        </mc:AlternateContent>
        <mc:AlternateContent xmlns:mc="http://schemas.openxmlformats.org/markup-compatibility/2006">
          <mc:Choice Requires="x14">
            <control shapeId="27782" r:id="rId136" name="Check Box 134">
              <controlPr defaultSize="0" autoFill="0" autoLine="0" autoPict="0" macro="[0]!CheckboxClick">
                <anchor moveWithCells="1">
                  <from>
                    <xdr:col>2</xdr:col>
                    <xdr:colOff>866775</xdr:colOff>
                    <xdr:row>69</xdr:row>
                    <xdr:rowOff>133350</xdr:rowOff>
                  </from>
                  <to>
                    <xdr:col>3</xdr:col>
                    <xdr:colOff>57150</xdr:colOff>
                    <xdr:row>71</xdr:row>
                    <xdr:rowOff>38100</xdr:rowOff>
                  </to>
                </anchor>
              </controlPr>
            </control>
          </mc:Choice>
        </mc:AlternateContent>
        <mc:AlternateContent xmlns:mc="http://schemas.openxmlformats.org/markup-compatibility/2006">
          <mc:Choice Requires="x14">
            <control shapeId="27783" r:id="rId137" name="Check Box 135">
              <controlPr defaultSize="0" autoFill="0" autoLine="0" autoPict="0" macro="[0]!CheckboxClick">
                <anchor moveWithCells="1">
                  <from>
                    <xdr:col>6</xdr:col>
                    <xdr:colOff>1028700</xdr:colOff>
                    <xdr:row>69</xdr:row>
                    <xdr:rowOff>133350</xdr:rowOff>
                  </from>
                  <to>
                    <xdr:col>7</xdr:col>
                    <xdr:colOff>9525</xdr:colOff>
                    <xdr:row>71</xdr:row>
                    <xdr:rowOff>38100</xdr:rowOff>
                  </to>
                </anchor>
              </controlPr>
            </control>
          </mc:Choice>
        </mc:AlternateContent>
        <mc:AlternateContent xmlns:mc="http://schemas.openxmlformats.org/markup-compatibility/2006">
          <mc:Choice Requires="x14">
            <control shapeId="27784" r:id="rId138" name="Check Box 136">
              <controlPr defaultSize="0" autoFill="0" autoLine="0" autoPict="0" macro="[0]!CheckboxClick">
                <anchor moveWithCells="1">
                  <from>
                    <xdr:col>4</xdr:col>
                    <xdr:colOff>1685925</xdr:colOff>
                    <xdr:row>69</xdr:row>
                    <xdr:rowOff>133350</xdr:rowOff>
                  </from>
                  <to>
                    <xdr:col>5</xdr:col>
                    <xdr:colOff>9525</xdr:colOff>
                    <xdr:row>71</xdr:row>
                    <xdr:rowOff>38100</xdr:rowOff>
                  </to>
                </anchor>
              </controlPr>
            </control>
          </mc:Choice>
        </mc:AlternateContent>
        <mc:AlternateContent xmlns:mc="http://schemas.openxmlformats.org/markup-compatibility/2006">
          <mc:Choice Requires="x14">
            <control shapeId="27785" r:id="rId139" name="Check Box 137">
              <controlPr defaultSize="0" autoFill="0" autoLine="0" autoPict="0" macro="[0]!CheckboxClick">
                <anchor moveWithCells="1">
                  <from>
                    <xdr:col>2</xdr:col>
                    <xdr:colOff>866775</xdr:colOff>
                    <xdr:row>70</xdr:row>
                    <xdr:rowOff>133350</xdr:rowOff>
                  </from>
                  <to>
                    <xdr:col>3</xdr:col>
                    <xdr:colOff>57150</xdr:colOff>
                    <xdr:row>72</xdr:row>
                    <xdr:rowOff>38100</xdr:rowOff>
                  </to>
                </anchor>
              </controlPr>
            </control>
          </mc:Choice>
        </mc:AlternateContent>
        <mc:AlternateContent xmlns:mc="http://schemas.openxmlformats.org/markup-compatibility/2006">
          <mc:Choice Requires="x14">
            <control shapeId="27786" r:id="rId140" name="Check Box 138">
              <controlPr defaultSize="0" autoFill="0" autoLine="0" autoPict="0" macro="[0]!CheckboxClick">
                <anchor moveWithCells="1">
                  <from>
                    <xdr:col>6</xdr:col>
                    <xdr:colOff>1028700</xdr:colOff>
                    <xdr:row>70</xdr:row>
                    <xdr:rowOff>133350</xdr:rowOff>
                  </from>
                  <to>
                    <xdr:col>7</xdr:col>
                    <xdr:colOff>9525</xdr:colOff>
                    <xdr:row>72</xdr:row>
                    <xdr:rowOff>38100</xdr:rowOff>
                  </to>
                </anchor>
              </controlPr>
            </control>
          </mc:Choice>
        </mc:AlternateContent>
        <mc:AlternateContent xmlns:mc="http://schemas.openxmlformats.org/markup-compatibility/2006">
          <mc:Choice Requires="x14">
            <control shapeId="27787" r:id="rId141" name="Check Box 139">
              <controlPr defaultSize="0" autoFill="0" autoLine="0" autoPict="0" macro="[0]!CheckboxClick">
                <anchor moveWithCells="1">
                  <from>
                    <xdr:col>4</xdr:col>
                    <xdr:colOff>1685925</xdr:colOff>
                    <xdr:row>70</xdr:row>
                    <xdr:rowOff>133350</xdr:rowOff>
                  </from>
                  <to>
                    <xdr:col>5</xdr:col>
                    <xdr:colOff>9525</xdr:colOff>
                    <xdr:row>72</xdr:row>
                    <xdr:rowOff>38100</xdr:rowOff>
                  </to>
                </anchor>
              </controlPr>
            </control>
          </mc:Choice>
        </mc:AlternateContent>
        <mc:AlternateContent xmlns:mc="http://schemas.openxmlformats.org/markup-compatibility/2006">
          <mc:Choice Requires="x14">
            <control shapeId="27788" r:id="rId142" name="Check Box 140">
              <controlPr defaultSize="0" autoFill="0" autoLine="0" autoPict="0" macro="[0]!CheckboxClick">
                <anchor moveWithCells="1">
                  <from>
                    <xdr:col>6</xdr:col>
                    <xdr:colOff>1028700</xdr:colOff>
                    <xdr:row>68</xdr:row>
                    <xdr:rowOff>133350</xdr:rowOff>
                  </from>
                  <to>
                    <xdr:col>7</xdr:col>
                    <xdr:colOff>9525</xdr:colOff>
                    <xdr:row>70</xdr:row>
                    <xdr:rowOff>38100</xdr:rowOff>
                  </to>
                </anchor>
              </controlPr>
            </control>
          </mc:Choice>
        </mc:AlternateContent>
        <mc:AlternateContent xmlns:mc="http://schemas.openxmlformats.org/markup-compatibility/2006">
          <mc:Choice Requires="x14">
            <control shapeId="27789" r:id="rId143" name="Check Box 141">
              <controlPr defaultSize="0" autoFill="0" autoLine="0" autoPict="0" macro="[0]!CheckboxClick">
                <anchor moveWithCells="1">
                  <from>
                    <xdr:col>6</xdr:col>
                    <xdr:colOff>1028700</xdr:colOff>
                    <xdr:row>69</xdr:row>
                    <xdr:rowOff>133350</xdr:rowOff>
                  </from>
                  <to>
                    <xdr:col>7</xdr:col>
                    <xdr:colOff>9525</xdr:colOff>
                    <xdr:row>71</xdr:row>
                    <xdr:rowOff>38100</xdr:rowOff>
                  </to>
                </anchor>
              </controlPr>
            </control>
          </mc:Choice>
        </mc:AlternateContent>
        <mc:AlternateContent xmlns:mc="http://schemas.openxmlformats.org/markup-compatibility/2006">
          <mc:Choice Requires="x14">
            <control shapeId="27790" r:id="rId144" name="Check Box 142">
              <controlPr defaultSize="0" autoFill="0" autoLine="0" autoPict="0" macro="[0]!CheckboxClick">
                <anchor moveWithCells="1">
                  <from>
                    <xdr:col>6</xdr:col>
                    <xdr:colOff>1028700</xdr:colOff>
                    <xdr:row>70</xdr:row>
                    <xdr:rowOff>133350</xdr:rowOff>
                  </from>
                  <to>
                    <xdr:col>7</xdr:col>
                    <xdr:colOff>9525</xdr:colOff>
                    <xdr:row>72</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F13C6D2-6FE2-4A56-A056-CC8AD343E233}">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B69</xm:sqref>
        </x14:conditionalFormatting>
        <x14:conditionalFormatting xmlns:xm="http://schemas.microsoft.com/office/excel/2006/main">
          <x14:cfRule type="dataBar" id="{7E02570C-025F-460D-AAFB-484CADD4C164}">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B1</xm:sqref>
        </x14:conditionalFormatting>
        <x14:conditionalFormatting xmlns:xm="http://schemas.microsoft.com/office/excel/2006/main">
          <x14:cfRule type="dataBar" id="{0140499F-D578-4888-BC86-D256743F97B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B19</xm:sqref>
        </x14:conditionalFormatting>
        <x14:conditionalFormatting xmlns:xm="http://schemas.microsoft.com/office/excel/2006/main">
          <x14:cfRule type="dataBar" id="{0DC83549-DD79-4D5B-B793-DFD6D9D3DD6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B28</xm:sqref>
        </x14:conditionalFormatting>
        <x14:conditionalFormatting xmlns:xm="http://schemas.microsoft.com/office/excel/2006/main">
          <x14:cfRule type="dataBar" id="{528A6E60-CF66-46CA-8564-AFD038E94AD6}">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B34</xm:sqref>
        </x14:conditionalFormatting>
        <x14:conditionalFormatting xmlns:xm="http://schemas.microsoft.com/office/excel/2006/main">
          <x14:cfRule type="dataBar" id="{C8EEAAF5-922A-4CE7-8714-824B640C9771}">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B46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8B10-FAF8-401C-9EA1-92CB1AF2A815}">
  <sheetPr codeName="Blad6"/>
  <dimension ref="A1:P199"/>
  <sheetViews>
    <sheetView topLeftCell="A73" zoomScale="110" zoomScaleNormal="110" zoomScaleSheetLayoutView="85" workbookViewId="0">
      <selection activeCell="K2" sqref="K2"/>
    </sheetView>
  </sheetViews>
  <sheetFormatPr defaultColWidth="9.140625" defaultRowHeight="12.75" outlineLevelRow="1"/>
  <cols>
    <col min="1" max="5" width="8.28515625" style="12" customWidth="1"/>
    <col min="6" max="6" width="5.42578125" style="12" customWidth="1"/>
    <col min="7" max="7" width="11.5703125" style="12" customWidth="1"/>
    <col min="8" max="9" width="14.5703125" style="12" customWidth="1"/>
    <col min="10" max="10" width="31" style="11" customWidth="1"/>
    <col min="11" max="11" width="37.5703125" style="11" customWidth="1"/>
    <col min="12" max="12" width="87.7109375" style="25" customWidth="1"/>
    <col min="13" max="13" width="24.85546875" style="12" customWidth="1"/>
    <col min="14" max="16384" width="9.140625" style="12"/>
  </cols>
  <sheetData>
    <row r="1" spans="1:12" customFormat="1">
      <c r="A1" s="104"/>
      <c r="B1" s="104"/>
      <c r="C1" s="104"/>
      <c r="D1" s="104"/>
      <c r="E1" s="104"/>
      <c r="F1" s="104"/>
      <c r="G1" s="104"/>
      <c r="H1" s="104"/>
      <c r="I1" s="53"/>
      <c r="J1" s="24">
        <f>A1</f>
        <v>0</v>
      </c>
      <c r="K1" s="24">
        <f>E1</f>
        <v>0</v>
      </c>
      <c r="L1" s="25"/>
    </row>
    <row r="2" spans="1:12" customFormat="1">
      <c r="A2" s="1"/>
      <c r="E2" s="22"/>
      <c r="J2" s="19"/>
      <c r="K2" s="19"/>
      <c r="L2" s="25"/>
    </row>
    <row r="3" spans="1:12" customFormat="1" ht="33.75">
      <c r="A3" s="2"/>
      <c r="J3" s="19"/>
      <c r="K3" s="19"/>
      <c r="L3" s="25"/>
    </row>
    <row r="4" spans="1:12" customFormat="1">
      <c r="J4" s="19"/>
      <c r="K4" s="19"/>
      <c r="L4" s="25"/>
    </row>
    <row r="5" spans="1:12" customFormat="1" ht="33.75">
      <c r="A5" s="112" t="s">
        <v>0</v>
      </c>
      <c r="B5" s="112"/>
      <c r="C5" s="112"/>
      <c r="D5" s="112"/>
      <c r="E5" s="112"/>
      <c r="F5" s="112"/>
      <c r="G5" s="112"/>
      <c r="H5" s="112"/>
      <c r="I5" s="112"/>
      <c r="J5" s="19"/>
      <c r="K5" s="19"/>
      <c r="L5" s="25"/>
    </row>
    <row r="6" spans="1:12" customFormat="1" ht="33.75">
      <c r="A6" s="112" t="s">
        <v>1</v>
      </c>
      <c r="B6" s="112"/>
      <c r="C6" s="112"/>
      <c r="D6" s="112"/>
      <c r="E6" s="112"/>
      <c r="F6" s="112"/>
      <c r="G6" s="112"/>
      <c r="H6" s="112"/>
      <c r="I6" s="112"/>
      <c r="J6" s="19"/>
      <c r="K6" s="19"/>
      <c r="L6" s="25"/>
    </row>
    <row r="7" spans="1:12" customFormat="1">
      <c r="J7" s="19"/>
      <c r="K7" s="19"/>
      <c r="L7" s="25"/>
    </row>
    <row r="8" spans="1:12" customFormat="1">
      <c r="J8" s="19"/>
      <c r="K8" s="19"/>
      <c r="L8" s="25"/>
    </row>
    <row r="9" spans="1:12" customFormat="1">
      <c r="J9" s="19"/>
      <c r="K9" s="19"/>
      <c r="L9" s="25"/>
    </row>
    <row r="10" spans="1:12" customFormat="1" ht="33.75">
      <c r="A10" s="112" t="str">
        <f>Gegevens!B3&amp;" te "&amp;Gegevens!B4</f>
        <v>INVULLEN te INVULLEN</v>
      </c>
      <c r="B10" s="112"/>
      <c r="C10" s="112"/>
      <c r="D10" s="112"/>
      <c r="E10" s="112"/>
      <c r="F10" s="112"/>
      <c r="G10" s="112"/>
      <c r="H10" s="112"/>
      <c r="I10" s="112"/>
      <c r="J10" s="19"/>
      <c r="K10" s="19"/>
      <c r="L10" s="25"/>
    </row>
    <row r="11" spans="1:12" customFormat="1" ht="33.75">
      <c r="A11" s="112" t="str">
        <f>"Onderhoudsrapportage "&amp;Inputblad!D3&amp;" van "&amp;Inputblad!B3</f>
        <v xml:space="preserve">Onderhoudsrapportage  van </v>
      </c>
      <c r="B11" s="112"/>
      <c r="C11" s="112"/>
      <c r="D11" s="112"/>
      <c r="E11" s="112"/>
      <c r="F11" s="112"/>
      <c r="G11" s="112"/>
      <c r="H11" s="112"/>
      <c r="I11" s="112"/>
      <c r="J11" s="19"/>
      <c r="K11" s="19"/>
      <c r="L11" s="25"/>
    </row>
    <row r="12" spans="1:12" customFormat="1" ht="33.75">
      <c r="A12" s="112" t="str">
        <f>"Contractjaar "&amp;Gegevens!B16</f>
        <v>Contractjaar INVULLEN</v>
      </c>
      <c r="B12" s="112"/>
      <c r="C12" s="112"/>
      <c r="D12" s="112"/>
      <c r="E12" s="112"/>
      <c r="F12" s="112"/>
      <c r="G12" s="112"/>
      <c r="H12" s="112"/>
      <c r="I12" s="112"/>
      <c r="J12" s="19"/>
      <c r="K12" s="19"/>
      <c r="L12" s="25"/>
    </row>
    <row r="13" spans="1:12" customFormat="1">
      <c r="J13" s="19"/>
      <c r="K13" s="19"/>
      <c r="L13" s="25"/>
    </row>
    <row r="14" spans="1:12" customFormat="1">
      <c r="J14" s="19"/>
      <c r="K14" s="19"/>
      <c r="L14" s="25"/>
    </row>
    <row r="15" spans="1:12" customFormat="1">
      <c r="J15" s="19"/>
      <c r="K15" s="19"/>
      <c r="L15" s="25"/>
    </row>
    <row r="16" spans="1:12" customFormat="1">
      <c r="J16" s="19"/>
      <c r="K16" s="19"/>
      <c r="L16" s="25"/>
    </row>
    <row r="17" spans="10:12" customFormat="1">
      <c r="J17" s="19"/>
      <c r="K17" s="19"/>
      <c r="L17" s="25"/>
    </row>
    <row r="18" spans="10:12" customFormat="1">
      <c r="J18" s="19"/>
      <c r="K18" s="19"/>
      <c r="L18" s="25"/>
    </row>
    <row r="19" spans="10:12" customFormat="1">
      <c r="J19" s="19"/>
      <c r="K19" s="19"/>
      <c r="L19" s="25"/>
    </row>
    <row r="20" spans="10:12" customFormat="1">
      <c r="J20" s="19"/>
      <c r="K20" s="19"/>
      <c r="L20" s="25"/>
    </row>
    <row r="21" spans="10:12" customFormat="1">
      <c r="J21" s="19"/>
      <c r="K21" s="19"/>
      <c r="L21" s="25"/>
    </row>
    <row r="22" spans="10:12" customFormat="1">
      <c r="J22" s="19"/>
      <c r="K22" s="19"/>
      <c r="L22" s="25"/>
    </row>
    <row r="23" spans="10:12" customFormat="1">
      <c r="J23" s="19"/>
      <c r="K23" s="19"/>
      <c r="L23" s="25"/>
    </row>
    <row r="24" spans="10:12" customFormat="1">
      <c r="J24" s="19"/>
      <c r="K24" s="19"/>
      <c r="L24" s="25"/>
    </row>
    <row r="25" spans="10:12" customFormat="1">
      <c r="J25" s="19"/>
      <c r="K25" s="19"/>
      <c r="L25" s="25"/>
    </row>
    <row r="26" spans="10:12" customFormat="1">
      <c r="J26" s="19"/>
      <c r="K26" s="19"/>
      <c r="L26" s="25"/>
    </row>
    <row r="27" spans="10:12" customFormat="1">
      <c r="J27" s="19"/>
      <c r="K27" s="19"/>
      <c r="L27" s="25"/>
    </row>
    <row r="28" spans="10:12" customFormat="1">
      <c r="J28" s="19"/>
      <c r="K28" s="19"/>
      <c r="L28" s="25"/>
    </row>
    <row r="29" spans="10:12" customFormat="1">
      <c r="J29" s="19"/>
      <c r="K29" s="19"/>
      <c r="L29" s="25"/>
    </row>
    <row r="30" spans="10:12" customFormat="1">
      <c r="J30" s="19"/>
      <c r="K30" s="19"/>
      <c r="L30" s="25"/>
    </row>
    <row r="31" spans="10:12" customFormat="1">
      <c r="J31" s="19"/>
      <c r="K31" s="19"/>
      <c r="L31" s="25"/>
    </row>
    <row r="32" spans="10:12" customFormat="1">
      <c r="J32" s="19"/>
      <c r="K32" s="19"/>
      <c r="L32" s="25"/>
    </row>
    <row r="33" spans="1:12" customFormat="1">
      <c r="J33" s="19"/>
      <c r="K33" s="19"/>
      <c r="L33" s="25"/>
    </row>
    <row r="34" spans="1:12" customFormat="1">
      <c r="J34" s="19"/>
      <c r="K34" s="19"/>
      <c r="L34" s="25"/>
    </row>
    <row r="35" spans="1:12" customFormat="1">
      <c r="J35" s="19"/>
      <c r="K35" s="19"/>
      <c r="L35" s="25"/>
    </row>
    <row r="36" spans="1:12" customFormat="1">
      <c r="J36" s="19"/>
      <c r="K36" s="19"/>
      <c r="L36" s="25"/>
    </row>
    <row r="37" spans="1:12" customFormat="1">
      <c r="J37" s="19"/>
      <c r="K37" s="19"/>
      <c r="L37" s="25"/>
    </row>
    <row r="38" spans="1:12" customFormat="1">
      <c r="J38" s="19"/>
      <c r="K38" s="19"/>
      <c r="L38" s="25"/>
    </row>
    <row r="39" spans="1:12" customFormat="1">
      <c r="J39" s="19"/>
      <c r="K39" s="19"/>
      <c r="L39" s="25"/>
    </row>
    <row r="40" spans="1:12" customFormat="1">
      <c r="J40" s="19"/>
      <c r="K40" s="19"/>
      <c r="L40" s="25"/>
    </row>
    <row r="41" spans="1:12" customFormat="1">
      <c r="J41" s="19"/>
      <c r="K41" s="19"/>
      <c r="L41" s="25"/>
    </row>
    <row r="42" spans="1:12" customFormat="1">
      <c r="J42" s="19"/>
      <c r="K42" s="19"/>
      <c r="L42" s="25"/>
    </row>
    <row r="43" spans="1:12" customFormat="1">
      <c r="J43" s="19"/>
      <c r="K43" s="19"/>
      <c r="L43" s="25"/>
    </row>
    <row r="44" spans="1:12" customFormat="1">
      <c r="A44" s="40" t="str">
        <f>"Geachte heer/mevrouw "&amp;Gegevens!B12&amp;","</f>
        <v>Geachte heer/mevrouw INVULLEN,</v>
      </c>
      <c r="B44" s="37"/>
      <c r="C44" s="37"/>
      <c r="D44" s="37"/>
      <c r="E44" s="37"/>
      <c r="F44" s="37"/>
      <c r="G44" s="37"/>
      <c r="H44" s="37"/>
      <c r="I44" s="37"/>
      <c r="J44" s="19"/>
      <c r="K44" s="19"/>
      <c r="L44" s="25"/>
    </row>
    <row r="45" spans="1:12" customFormat="1">
      <c r="A45" s="40"/>
      <c r="B45" s="37"/>
      <c r="C45" s="37"/>
      <c r="D45" s="37"/>
      <c r="E45" s="37"/>
      <c r="F45" s="37"/>
      <c r="G45" s="37"/>
      <c r="H45" s="37"/>
      <c r="I45" s="37"/>
      <c r="J45" s="19"/>
      <c r="K45" s="19"/>
      <c r="L45" s="25"/>
    </row>
    <row r="46" spans="1:12" customFormat="1" ht="38.25">
      <c r="A46" s="104" t="str">
        <f>"Hierbij ontvangt u onze rapportage naar aanleiding van het uitgevoerde onderhoud aan de meet- en regeltechnische installatie van "&amp;Gegevens!B3&amp;" "&amp;Gegevens!B4&amp;". Het betreft hierbij de onderhoudsstatus tot en met onderhoudsperiode "&amp;Inputblad!D3&amp;" van de geplande "&amp;Inputblad!B3&amp;" onderhoudsperiodes voor contractjaar "&amp;Gegevens!$B$16&amp;"."</f>
        <v>Hierbij ontvangt u onze rapportage naar aanleiding van het uitgevoerde onderhoud aan de meet- en regeltechnische installatie van INVULLEN INVULLEN. Het betreft hierbij de onderhoudsstatus tot en met onderhoudsperiode  van de geplande  onderhoudsperiodes voor contractjaar INVULLEN.</v>
      </c>
      <c r="B46" s="104"/>
      <c r="C46" s="104"/>
      <c r="D46" s="104"/>
      <c r="E46" s="104"/>
      <c r="F46" s="104"/>
      <c r="G46" s="104"/>
      <c r="H46" s="104"/>
      <c r="I46" s="104"/>
      <c r="J46" s="19"/>
      <c r="K46" s="19"/>
      <c r="L46" s="25" t="str">
        <f>_Hlk52777108</f>
        <v>Hierbij ontvangt u onze rapportage naar aanleiding van het uitgevoerde onderhoud aan de meet- en regeltechnische installatie van INVULLEN INVULLEN. Het betreft hierbij de onderhoudsstatus tot en met onderhoudsperiode  van de geplande  onderhoudsperiodes voor contractjaar INVULLEN.</v>
      </c>
    </row>
    <row r="47" spans="1:12" customFormat="1">
      <c r="A47" s="104" t="str">
        <f>"De regelpanelen verzorgen de regeling en besturing van de klimaatinstallaties."</f>
        <v>De regelpanelen verzorgen de regeling en besturing van de klimaatinstallaties.</v>
      </c>
      <c r="B47" s="104"/>
      <c r="C47" s="104"/>
      <c r="D47" s="104"/>
      <c r="E47" s="104"/>
      <c r="F47" s="104"/>
      <c r="G47" s="104"/>
      <c r="H47" s="104"/>
      <c r="I47" s="104"/>
      <c r="J47" s="19"/>
      <c r="K47" s="19"/>
      <c r="L47" s="25" t="str">
        <f>A47</f>
        <v>De regelpanelen verzorgen de regeling en besturing van de klimaatinstallaties.</v>
      </c>
    </row>
    <row r="48" spans="1:12" customFormat="1" ht="12.75" customHeight="1">
      <c r="A48" s="41"/>
      <c r="B48" s="41"/>
      <c r="C48" s="41"/>
      <c r="D48" s="41"/>
      <c r="E48" s="41"/>
      <c r="F48" s="41"/>
      <c r="G48" s="41"/>
      <c r="H48" s="41"/>
      <c r="I48" s="41"/>
      <c r="J48" s="19"/>
      <c r="K48" s="19"/>
      <c r="L48" s="25"/>
    </row>
    <row r="49" spans="1:12" customFormat="1" ht="51">
      <c r="A49" s="104" t="str">
        <f>"Middels een IP netwerk vindt de communicatie plaats tussen het gebouwbeheersysteem en de hoofdregelaars in de regelpanelen, waarop de IO-modules zijn aangesloten die de veldapparatuur uitlezen en aansturen. "&amp;IF(Inputblad!E24&gt;1,"Daarnaast zijn diverse naregelingen "&amp;Inputblad!E25&amp;" communicatiebus op het gebouwbeheersysteem aangesloten.","")&amp;"
Voor de totale omvang van de GBS installatie verwijzen wij u naar de assetlijst in bijlage 1."</f>
        <v>Middels een IP netwerk vindt de communicatie plaats tussen het gebouwbeheersysteem en de hoofdregelaars in de regelpanelen, waarop de IO-modules zijn aangesloten die de veldapparatuur uitlezen en aansturen. 
Voor de totale omvang van de GBS installatie verwijzen wij u naar de assetlijst in bijlage 1.</v>
      </c>
      <c r="B49" s="104"/>
      <c r="C49" s="104"/>
      <c r="D49" s="104"/>
      <c r="E49" s="104"/>
      <c r="F49" s="104"/>
      <c r="G49" s="104"/>
      <c r="H49" s="104"/>
      <c r="I49" s="104"/>
      <c r="J49" s="19"/>
      <c r="K49" s="19"/>
      <c r="L49" s="25" t="str">
        <f>A49</f>
        <v>Middels een IP netwerk vindt de communicatie plaats tussen het gebouwbeheersysteem en de hoofdregelaars in de regelpanelen, waarop de IO-modules zijn aangesloten die de veldapparatuur uitlezen en aansturen. 
Voor de totale omvang van de GBS installatie verwijzen wij u naar de assetlijst in bijlage 1.</v>
      </c>
    </row>
    <row r="50" spans="1:12" customFormat="1">
      <c r="A50" s="42"/>
      <c r="B50" s="42"/>
      <c r="C50" s="42"/>
      <c r="D50" s="42"/>
      <c r="E50" s="42"/>
      <c r="F50" s="42"/>
      <c r="G50" s="42"/>
      <c r="H50" s="42"/>
      <c r="I50" s="42"/>
      <c r="J50" s="19"/>
      <c r="K50" s="19"/>
      <c r="L50" s="25"/>
    </row>
    <row r="51" spans="1:12" customFormat="1">
      <c r="A51" s="104" t="e">
        <f xml:space="preserve"> "Uw onderhoudscontract met ons is van het niveau '"&amp;Inputblad!C4&amp;"', waarbij een controle plaatsvindt op het technisch en functioneel presteren van de installatie middels: "&amp;Gegevens!B19&amp;"
Onze bevindingen hieromtrent rapporteren wij aan u middels deze "&amp;Inputblad!F4&amp;"."</f>
        <v>#N/A</v>
      </c>
      <c r="B51" s="104"/>
      <c r="C51" s="104"/>
      <c r="D51" s="104"/>
      <c r="E51" s="104"/>
      <c r="F51" s="104"/>
      <c r="G51" s="104"/>
      <c r="H51" s="104"/>
      <c r="I51" s="104"/>
      <c r="J51" s="19"/>
      <c r="K51" s="19"/>
      <c r="L51" s="25" t="e">
        <f>A51</f>
        <v>#N/A</v>
      </c>
    </row>
    <row r="52" spans="1:12" customFormat="1">
      <c r="A52" s="6"/>
      <c r="B52" s="6"/>
      <c r="C52" s="6"/>
      <c r="D52" s="6"/>
      <c r="E52" s="6"/>
      <c r="F52" s="6"/>
      <c r="G52" s="6"/>
      <c r="H52" s="6"/>
      <c r="I52" s="6"/>
      <c r="J52" s="19"/>
      <c r="K52" s="19"/>
      <c r="L52" s="25"/>
    </row>
    <row r="53" spans="1:12" customFormat="1">
      <c r="A53" s="7" t="s">
        <v>2</v>
      </c>
      <c r="J53" s="19"/>
      <c r="K53" s="19"/>
      <c r="L53" s="25"/>
    </row>
    <row r="54" spans="1:12" customFormat="1">
      <c r="A54" t="str">
        <f>Gegevens!A37&amp;":"</f>
        <v>Meet- en regel onderhoudsrapportage:</v>
      </c>
      <c r="I54" s="54" t="str">
        <f>Inputblad!D4</f>
        <v>NIETS INGEVULD</v>
      </c>
      <c r="J54" s="19"/>
      <c r="K54" s="19"/>
      <c r="L54" s="25"/>
    </row>
    <row r="55" spans="1:12" customFormat="1">
      <c r="A55" t="str">
        <f>Gegevens!A38</f>
        <v>Datum of periode uitgevoerde onderhoud:</v>
      </c>
      <c r="I55" s="55" t="str">
        <f>Gegevens!B38</f>
        <v>INVULLEN</v>
      </c>
      <c r="J55" s="19"/>
      <c r="K55" s="19"/>
      <c r="L55" s="25"/>
    </row>
    <row r="56" spans="1:12" customFormat="1" ht="13.5" thickBot="1">
      <c r="A56" t="s">
        <v>3</v>
      </c>
      <c r="I56" s="54" t="str">
        <f>Gegevens!B31</f>
        <v>INVULLEN</v>
      </c>
      <c r="J56" s="19"/>
      <c r="K56" s="19"/>
      <c r="L56" s="25"/>
    </row>
    <row r="57" spans="1:12" customFormat="1" ht="13.5" thickBot="1">
      <c r="A57" t="s">
        <v>11</v>
      </c>
      <c r="I57" s="56" t="e">
        <f>SUM(G78:G83)/(COUNTA(G78:G83)-COUNTIF(G78:G83,"nvt"))</f>
        <v>#DIV/0!</v>
      </c>
      <c r="J57" s="19"/>
      <c r="K57" s="19"/>
      <c r="L57" s="25"/>
    </row>
    <row r="58" spans="1:12" customFormat="1" ht="13.5" thickBot="1">
      <c r="A58" t="s">
        <v>4</v>
      </c>
      <c r="I58" s="57" t="e">
        <f>SUM(H78:I84)</f>
        <v>#DIV/0!</v>
      </c>
      <c r="J58" s="19"/>
      <c r="K58" s="19"/>
      <c r="L58" s="25"/>
    </row>
    <row r="59" spans="1:12" customFormat="1">
      <c r="A59" t="s">
        <v>5</v>
      </c>
      <c r="I59" s="58" t="e">
        <f>I58-I60</f>
        <v>#DIV/0!</v>
      </c>
      <c r="J59" s="19"/>
      <c r="K59" s="19"/>
      <c r="L59" s="25"/>
    </row>
    <row r="60" spans="1:12" customFormat="1" ht="13.5" thickBot="1">
      <c r="A60" t="s">
        <v>201</v>
      </c>
      <c r="I60" s="59" t="e">
        <f>SUM(I78:I84)</f>
        <v>#DIV/0!</v>
      </c>
      <c r="J60" s="19"/>
      <c r="K60" s="19"/>
      <c r="L60" s="25"/>
    </row>
    <row r="61" spans="1:12" customFormat="1">
      <c r="A61" t="s">
        <v>6</v>
      </c>
      <c r="I61" s="54" t="str">
        <f>Gegevens!B32</f>
        <v>INVULLEN</v>
      </c>
      <c r="J61" s="19"/>
      <c r="K61" s="19"/>
      <c r="L61" s="25"/>
    </row>
    <row r="62" spans="1:12" customFormat="1">
      <c r="A62" t="s">
        <v>7</v>
      </c>
      <c r="I62" s="55">
        <f ca="1">TODAY()</f>
        <v>45818</v>
      </c>
      <c r="J62" s="19"/>
      <c r="K62" s="19"/>
      <c r="L62" s="25"/>
    </row>
    <row r="63" spans="1:12" customFormat="1">
      <c r="J63" s="19"/>
      <c r="K63" s="19"/>
      <c r="L63" s="25"/>
    </row>
    <row r="64" spans="1:12" customFormat="1" ht="38.25">
      <c r="A64" s="107" t="s">
        <v>200</v>
      </c>
      <c r="B64" s="107"/>
      <c r="C64" s="107"/>
      <c r="D64" s="107"/>
      <c r="E64" s="107"/>
      <c r="F64" s="107"/>
      <c r="G64" s="107"/>
      <c r="H64" s="107"/>
      <c r="I64" s="107"/>
      <c r="J64" s="19"/>
      <c r="K64" s="19"/>
      <c r="L64" s="25" t="str">
        <f>A64</f>
        <v>Eventuele vragen over de rapportage kunt u vanzelfsprekend aan ons voorleggen. 
Hiervoor kunt u tijdens kantoortijden contact opnemen met onze Service Coördinator, de heer 
Rob Kuilder, bereikbaar op telefoonnummer 06 - 223 951 85 of per email aan Rob.Kuilder@EQUANS.com.</v>
      </c>
    </row>
    <row r="65" spans="1:16" customFormat="1">
      <c r="J65" s="19"/>
      <c r="K65" s="19"/>
      <c r="L65" s="25"/>
    </row>
    <row r="66" spans="1:16" customFormat="1">
      <c r="A66" t="s">
        <v>8</v>
      </c>
      <c r="J66" s="19"/>
      <c r="K66" s="19"/>
      <c r="L66" s="25"/>
    </row>
    <row r="67" spans="1:16" customFormat="1">
      <c r="J67" s="19"/>
      <c r="K67" s="19"/>
      <c r="L67" s="25"/>
    </row>
    <row r="68" spans="1:16" customFormat="1">
      <c r="A68" s="7" t="s">
        <v>9</v>
      </c>
      <c r="B68" s="3"/>
      <c r="C68" s="3"/>
      <c r="D68" s="3"/>
      <c r="E68" s="3"/>
      <c r="F68" s="3"/>
      <c r="G68" s="3"/>
      <c r="H68" s="3"/>
      <c r="I68" s="3"/>
      <c r="J68" s="19"/>
      <c r="K68" s="19"/>
      <c r="L68" s="25"/>
    </row>
    <row r="69" spans="1:16" customFormat="1">
      <c r="A69" s="111" t="s">
        <v>12</v>
      </c>
      <c r="B69" s="111"/>
      <c r="C69" s="111"/>
      <c r="D69" s="111"/>
      <c r="E69" s="3"/>
      <c r="F69" s="3"/>
      <c r="G69" s="3"/>
      <c r="H69" s="3"/>
      <c r="I69" s="3"/>
      <c r="J69" s="19"/>
      <c r="K69" s="19"/>
      <c r="L69" s="25"/>
    </row>
    <row r="70" spans="1:16" customFormat="1">
      <c r="A70" s="111"/>
      <c r="B70" s="111"/>
      <c r="C70" s="111"/>
      <c r="D70" s="111"/>
      <c r="E70" s="3"/>
      <c r="F70" s="3"/>
      <c r="G70" s="3"/>
      <c r="H70" s="3"/>
      <c r="I70" s="3"/>
      <c r="J70" s="19"/>
      <c r="K70" s="19"/>
      <c r="L70" s="25"/>
    </row>
    <row r="71" spans="1:16" customFormat="1">
      <c r="A71" s="20"/>
      <c r="B71" s="20"/>
      <c r="C71" s="20"/>
      <c r="D71" s="3"/>
      <c r="E71" s="3"/>
      <c r="F71" s="3"/>
      <c r="G71" s="3"/>
      <c r="H71" s="3"/>
      <c r="I71" s="3"/>
      <c r="J71" s="19"/>
      <c r="K71" s="19"/>
      <c r="L71" s="25"/>
    </row>
    <row r="72" spans="1:16" customFormat="1" ht="33.75">
      <c r="A72" s="112" t="s">
        <v>118</v>
      </c>
      <c r="B72" s="112"/>
      <c r="C72" s="112"/>
      <c r="D72" s="112"/>
      <c r="E72" s="112"/>
      <c r="F72" s="112"/>
      <c r="G72" s="112"/>
      <c r="H72" s="112"/>
      <c r="I72" s="112"/>
      <c r="J72" s="19"/>
      <c r="K72" s="19"/>
      <c r="L72" s="25"/>
    </row>
    <row r="73" spans="1:16" customFormat="1" ht="168.75" customHeight="1">
      <c r="A73" s="13"/>
      <c r="B73" s="13"/>
      <c r="C73" s="13"/>
      <c r="D73" s="13"/>
      <c r="E73" s="13"/>
      <c r="F73" s="13"/>
      <c r="G73" s="13"/>
      <c r="H73" s="13"/>
      <c r="I73" s="13"/>
      <c r="J73" s="25" t="s">
        <v>207</v>
      </c>
      <c r="K73" s="25"/>
      <c r="L73" s="25"/>
      <c r="M73" s="31"/>
      <c r="N73" s="31"/>
      <c r="O73" s="31"/>
      <c r="P73" s="31"/>
    </row>
    <row r="74" spans="1:16" customFormat="1" ht="25.5">
      <c r="A74" s="13"/>
      <c r="B74" s="13"/>
      <c r="C74" s="13"/>
      <c r="D74" s="13"/>
      <c r="E74" s="13"/>
      <c r="F74" s="13"/>
      <c r="G74" s="21" t="s">
        <v>117</v>
      </c>
      <c r="H74" s="21" t="s">
        <v>203</v>
      </c>
      <c r="I74" s="21" t="s">
        <v>202</v>
      </c>
      <c r="J74" s="31"/>
      <c r="K74" s="31"/>
      <c r="L74" s="31"/>
      <c r="M74" s="31"/>
      <c r="N74" s="31"/>
      <c r="O74" s="31"/>
      <c r="P74" s="31"/>
    </row>
    <row r="75" spans="1:16" customFormat="1">
      <c r="A75" s="33"/>
      <c r="B75" s="33"/>
      <c r="C75" s="33"/>
      <c r="D75" s="39" t="s">
        <v>204</v>
      </c>
      <c r="E75" s="33"/>
      <c r="F75" s="33"/>
      <c r="G75" s="17" t="e">
        <f>I57</f>
        <v>#DIV/0!</v>
      </c>
      <c r="H75" s="23" t="e">
        <f>I59</f>
        <v>#DIV/0!</v>
      </c>
      <c r="I75" s="23" t="e">
        <f>I60</f>
        <v>#DIV/0!</v>
      </c>
      <c r="J75" s="25"/>
      <c r="K75" s="43"/>
      <c r="L75" s="25"/>
      <c r="M75" s="31"/>
      <c r="N75" s="31"/>
      <c r="O75" s="31"/>
      <c r="P75" s="31"/>
    </row>
    <row r="76" spans="1:16" customFormat="1">
      <c r="A76" s="33"/>
      <c r="B76" s="33"/>
      <c r="C76" s="33"/>
      <c r="D76" s="33"/>
      <c r="E76" s="33"/>
      <c r="F76" s="33"/>
      <c r="G76" s="21"/>
      <c r="H76" s="21"/>
      <c r="I76" s="21"/>
      <c r="J76" s="45"/>
      <c r="K76" s="25">
        <f>COUNT(G78:G83)</f>
        <v>0</v>
      </c>
      <c r="L76" s="25"/>
      <c r="M76" s="25"/>
      <c r="N76" s="31"/>
      <c r="O76" s="31"/>
      <c r="P76" s="31"/>
    </row>
    <row r="77" spans="1:16" customFormat="1">
      <c r="A77" s="39" t="s">
        <v>181</v>
      </c>
      <c r="B77" s="29"/>
      <c r="C77" s="33"/>
      <c r="D77" s="33"/>
      <c r="E77" s="33"/>
      <c r="F77" s="33"/>
      <c r="H77" s="13"/>
      <c r="I77" s="13"/>
      <c r="J77" s="45"/>
      <c r="K77" s="61" t="str">
        <f>G74</f>
        <v>Gereedheid onderhoud</v>
      </c>
      <c r="L77" s="61" t="str">
        <f>H74</f>
        <v>Opgeloste afwijkingen</v>
      </c>
      <c r="M77" s="61" t="str">
        <f>I74</f>
        <v>Niet opgeloste afwijkingen</v>
      </c>
      <c r="N77" s="31"/>
      <c r="O77" s="31"/>
      <c r="P77" s="31"/>
    </row>
    <row r="78" spans="1:16" customFormat="1">
      <c r="A78" s="33" t="str">
        <f>"·         "&amp;COUNT('Checklist Klantvragen'!B3:B15)&amp;" benoemde aandachtspunten"</f>
        <v>·         0 benoemde aandachtspunten</v>
      </c>
      <c r="B78" s="33"/>
      <c r="C78" s="33"/>
      <c r="D78" s="33"/>
      <c r="E78" s="33"/>
      <c r="F78" s="33"/>
      <c r="G78" s="17" t="str">
        <f>'Checklist Klantvragen'!D1</f>
        <v>nvt</v>
      </c>
      <c r="H78" s="23" t="str">
        <f>'Checklist Klantvragen'!J1</f>
        <v/>
      </c>
      <c r="I78" s="23" t="str">
        <f>IF(G78="nvt","",'Checklist Klantvragen'!H1-'Checklist Klantvragen'!J1)</f>
        <v/>
      </c>
      <c r="J78" s="45" t="s">
        <v>205</v>
      </c>
      <c r="K78" s="62" t="e">
        <f>1-G75</f>
        <v>#DIV/0!</v>
      </c>
      <c r="L78" s="25"/>
      <c r="M78" s="25"/>
      <c r="N78" s="31"/>
      <c r="O78" s="31"/>
      <c r="P78" s="31"/>
    </row>
    <row r="79" spans="1:16" s="4" customFormat="1">
      <c r="A79" s="38"/>
      <c r="B79" s="38"/>
      <c r="C79" s="38"/>
      <c r="D79" s="38"/>
      <c r="E79" s="38"/>
      <c r="F79" s="38"/>
      <c r="G79" s="17"/>
      <c r="H79" s="5"/>
      <c r="I79" s="5"/>
      <c r="J79" s="45" t="str">
        <f>IF(G78="nvt","","benoemde aandachtspunten")</f>
        <v/>
      </c>
      <c r="K79" s="63" t="e">
        <f>G78/K76</f>
        <v>#VALUE!</v>
      </c>
      <c r="L79" s="25" t="str">
        <f>H78</f>
        <v/>
      </c>
      <c r="M79" s="25" t="str">
        <f>I78</f>
        <v/>
      </c>
      <c r="N79" s="44"/>
      <c r="O79" s="52"/>
      <c r="P79" s="45"/>
    </row>
    <row r="80" spans="1:16" customFormat="1">
      <c r="A80" s="39" t="s">
        <v>119</v>
      </c>
      <c r="B80" s="34"/>
      <c r="C80" s="38"/>
      <c r="D80" s="38"/>
      <c r="E80" s="38"/>
      <c r="F80" s="38"/>
      <c r="G80" s="4"/>
      <c r="H80" s="4"/>
      <c r="I80" s="4"/>
      <c r="J80" s="25" t="str">
        <f>COUNTA(J81:J83)&amp;" regelpanelen"</f>
        <v>1 regelpanelen</v>
      </c>
      <c r="K80" s="63" t="e">
        <f>SUM(K81:K83)</f>
        <v>#DIV/0!</v>
      </c>
      <c r="L80" s="25" t="e">
        <f>SUM(L81:L83)</f>
        <v>#DIV/0!</v>
      </c>
      <c r="M80" s="25" t="e">
        <f>SUM(M81:M83)</f>
        <v>#DIV/0!</v>
      </c>
      <c r="N80" s="44"/>
      <c r="O80" s="44"/>
      <c r="P80" s="31"/>
    </row>
    <row r="81" spans="1:16" customFormat="1">
      <c r="A81" s="38" t="str">
        <f>'Checklist Regelkast'!B2</f>
        <v>INVULLEN</v>
      </c>
      <c r="B81" s="38"/>
      <c r="C81" s="38"/>
      <c r="D81" s="38"/>
      <c r="E81" s="38"/>
      <c r="F81" s="38"/>
      <c r="G81" s="17" t="e">
        <f>'Checklist Regelkast'!B1</f>
        <v>#DIV/0!</v>
      </c>
      <c r="H81" s="23" t="e">
        <f>'Checklist Regelkast'!H1</f>
        <v>#DIV/0!</v>
      </c>
      <c r="I81" s="5" t="e">
        <f>IF(G81="nvt","",'Checklist Regelkast'!F1-'Checklist Regelkast'!H1)</f>
        <v>#DIV/0!</v>
      </c>
      <c r="J81" s="25" t="str">
        <f>A81</f>
        <v>INVULLEN</v>
      </c>
      <c r="K81" s="63" t="e">
        <f>G81/K76</f>
        <v>#DIV/0!</v>
      </c>
      <c r="L81" s="25" t="e">
        <f>H81</f>
        <v>#DIV/0!</v>
      </c>
      <c r="M81" s="25" t="e">
        <f>I81</f>
        <v>#DIV/0!</v>
      </c>
      <c r="N81" s="44"/>
      <c r="O81" s="44"/>
      <c r="P81" s="31"/>
    </row>
    <row r="82" spans="1:16" customFormat="1">
      <c r="A82" s="46"/>
      <c r="B82" s="38"/>
      <c r="C82" s="38"/>
      <c r="D82" s="38"/>
      <c r="E82" s="38"/>
      <c r="F82" s="38"/>
      <c r="G82" s="4"/>
      <c r="H82" s="4"/>
      <c r="I82" s="4"/>
      <c r="J82" s="31"/>
      <c r="K82" s="63"/>
      <c r="L82" s="25"/>
      <c r="M82" s="25"/>
      <c r="N82" s="44"/>
      <c r="O82" s="44"/>
      <c r="P82" s="31"/>
    </row>
    <row r="83" spans="1:16" customFormat="1">
      <c r="A83" s="46"/>
      <c r="B83" s="38"/>
      <c r="C83" s="38"/>
      <c r="D83" s="38"/>
      <c r="E83" s="38"/>
      <c r="F83" s="38"/>
      <c r="G83" s="4"/>
      <c r="H83" s="4"/>
      <c r="I83" s="4"/>
      <c r="J83" s="25"/>
      <c r="K83" s="25"/>
      <c r="L83" s="43"/>
      <c r="M83" s="43"/>
      <c r="N83" s="44"/>
      <c r="O83" s="44"/>
    </row>
    <row r="84" spans="1:16" customFormat="1">
      <c r="A84" s="38" t="s">
        <v>212</v>
      </c>
      <c r="B84" s="38"/>
      <c r="C84" s="38"/>
      <c r="D84" s="38"/>
      <c r="E84" s="12"/>
      <c r="F84" s="38"/>
      <c r="G84" s="4">
        <f>COUNTIF(G81:G83,0)</f>
        <v>0</v>
      </c>
      <c r="H84" s="4"/>
      <c r="I84" s="4"/>
      <c r="J84" s="43"/>
      <c r="K84" s="43"/>
      <c r="L84" s="43"/>
      <c r="M84" s="44"/>
      <c r="N84" s="44"/>
    </row>
    <row r="85" spans="1:16" customFormat="1">
      <c r="A85" s="38"/>
      <c r="B85" s="38"/>
      <c r="C85" s="38"/>
      <c r="D85" s="38"/>
      <c r="E85" s="38"/>
      <c r="F85" s="38"/>
      <c r="G85" s="4"/>
      <c r="H85" s="4"/>
      <c r="I85" s="4"/>
      <c r="J85" s="43"/>
      <c r="K85" s="43"/>
      <c r="L85" s="43"/>
      <c r="M85" s="44"/>
    </row>
    <row r="86" spans="1:16" customFormat="1" ht="33.75">
      <c r="A86" s="108" t="s">
        <v>202</v>
      </c>
      <c r="B86" s="108"/>
      <c r="C86" s="108"/>
      <c r="D86" s="108"/>
      <c r="E86" s="108"/>
      <c r="F86" s="108"/>
      <c r="G86" s="108"/>
      <c r="H86" s="108"/>
      <c r="I86" s="108"/>
      <c r="J86" s="19"/>
      <c r="K86" s="19"/>
      <c r="L86" s="25"/>
    </row>
    <row r="87" spans="1:16">
      <c r="A87" s="32"/>
      <c r="B87" s="32"/>
      <c r="C87" s="32"/>
      <c r="D87" s="33"/>
      <c r="E87" s="33"/>
      <c r="F87" s="33"/>
      <c r="G87" s="33"/>
      <c r="H87" s="33"/>
      <c r="I87" s="33"/>
    </row>
    <row r="88" spans="1:16">
      <c r="A88" s="34"/>
      <c r="B88" s="35"/>
      <c r="C88" s="32"/>
      <c r="D88" s="33"/>
      <c r="E88" s="33"/>
      <c r="F88" s="33"/>
      <c r="G88" s="33"/>
      <c r="H88" s="33"/>
      <c r="I88" s="33"/>
      <c r="J88" s="25"/>
      <c r="K88" s="25"/>
    </row>
    <row r="89" spans="1:16">
      <c r="A89" s="32"/>
      <c r="B89" s="32"/>
      <c r="C89" s="32"/>
      <c r="D89" s="33"/>
      <c r="E89" s="33"/>
      <c r="F89" s="33"/>
      <c r="G89" s="33"/>
      <c r="H89" s="33"/>
      <c r="I89" s="33"/>
      <c r="J89" s="25"/>
      <c r="K89" s="25"/>
    </row>
    <row r="90" spans="1:16">
      <c r="A90" s="32"/>
      <c r="B90" s="32"/>
      <c r="C90" s="32"/>
      <c r="D90" s="33"/>
      <c r="E90" s="33"/>
      <c r="F90" s="33"/>
      <c r="G90" s="33"/>
      <c r="H90" s="33"/>
      <c r="I90" s="33"/>
      <c r="J90" s="25"/>
      <c r="K90" s="25"/>
    </row>
    <row r="91" spans="1:16" customFormat="1">
      <c r="A91" s="34"/>
      <c r="B91" s="35"/>
      <c r="C91" s="36"/>
      <c r="D91" s="37"/>
      <c r="E91" s="37"/>
      <c r="F91" s="37"/>
      <c r="G91" s="38"/>
      <c r="H91" s="37"/>
      <c r="I91" s="37"/>
      <c r="J91" s="25"/>
      <c r="K91" s="25"/>
      <c r="L91" s="25"/>
    </row>
    <row r="92" spans="1:16">
      <c r="A92" s="32"/>
      <c r="B92" s="32"/>
      <c r="C92" s="32"/>
      <c r="D92" s="33"/>
      <c r="E92" s="33"/>
      <c r="F92" s="33"/>
      <c r="G92" s="33"/>
      <c r="H92" s="33"/>
      <c r="I92" s="33"/>
      <c r="J92" s="25"/>
      <c r="K92" s="25"/>
    </row>
    <row r="93" spans="1:16">
      <c r="A93" s="32"/>
      <c r="B93" s="32"/>
      <c r="C93" s="32"/>
      <c r="D93" s="33"/>
      <c r="E93" s="33"/>
      <c r="F93" s="33"/>
      <c r="G93" s="33"/>
      <c r="H93" s="33"/>
      <c r="I93" s="33"/>
      <c r="J93" s="25"/>
      <c r="K93" s="25"/>
    </row>
    <row r="94" spans="1:16">
      <c r="A94" s="34"/>
      <c r="B94" s="35"/>
      <c r="C94" s="32"/>
      <c r="D94" s="33"/>
      <c r="E94" s="33"/>
      <c r="F94" s="33"/>
      <c r="G94" s="33"/>
      <c r="H94" s="33"/>
      <c r="I94" s="33"/>
      <c r="J94" s="25"/>
      <c r="K94" s="25"/>
    </row>
    <row r="95" spans="1:16">
      <c r="A95" s="32"/>
      <c r="B95" s="32"/>
      <c r="C95" s="32"/>
      <c r="D95" s="33"/>
      <c r="E95" s="33"/>
      <c r="F95" s="33"/>
      <c r="G95" s="33"/>
      <c r="H95" s="33"/>
      <c r="I95" s="33"/>
      <c r="J95" s="25"/>
      <c r="K95" s="25"/>
    </row>
    <row r="96" spans="1:16">
      <c r="A96" s="32"/>
      <c r="B96" s="32"/>
      <c r="C96" s="32"/>
      <c r="D96" s="33"/>
      <c r="E96" s="33"/>
      <c r="F96" s="33"/>
      <c r="G96" s="33"/>
      <c r="H96" s="33"/>
      <c r="I96" s="33"/>
      <c r="J96" s="25"/>
      <c r="K96" s="25"/>
    </row>
    <row r="97" spans="1:12">
      <c r="A97" s="32"/>
      <c r="B97" s="32"/>
      <c r="C97" s="32"/>
      <c r="D97" s="33"/>
      <c r="E97" s="33"/>
      <c r="F97" s="33"/>
      <c r="G97" s="33"/>
      <c r="H97" s="33"/>
      <c r="I97" s="33"/>
      <c r="J97" s="25"/>
      <c r="K97" s="25"/>
    </row>
    <row r="98" spans="1:12">
      <c r="A98" s="32"/>
      <c r="B98" s="32"/>
      <c r="C98" s="32"/>
      <c r="D98" s="33"/>
      <c r="E98" s="33"/>
      <c r="F98" s="33"/>
      <c r="G98" s="33"/>
      <c r="H98" s="33"/>
      <c r="I98" s="33"/>
      <c r="J98" s="25"/>
      <c r="K98" s="25"/>
    </row>
    <row r="99" spans="1:12" ht="33.75">
      <c r="A99" s="108" t="s">
        <v>189</v>
      </c>
      <c r="B99" s="108"/>
      <c r="C99" s="108"/>
      <c r="D99" s="108"/>
      <c r="E99" s="108"/>
      <c r="F99" s="108"/>
      <c r="G99" s="108"/>
      <c r="H99" s="108"/>
      <c r="I99" s="108"/>
      <c r="J99" s="25"/>
      <c r="K99" s="25"/>
    </row>
    <row r="100" spans="1:12">
      <c r="A100" s="47" t="s">
        <v>222</v>
      </c>
      <c r="B100" s="13"/>
      <c r="C100" s="13"/>
      <c r="D100" s="13"/>
      <c r="E100" s="13"/>
      <c r="F100" s="13"/>
      <c r="G100" s="13"/>
      <c r="H100" s="13"/>
      <c r="I100" s="13"/>
      <c r="J100" s="25"/>
      <c r="K100" s="25"/>
      <c r="L100" s="25" t="str">
        <f>A100</f>
        <v/>
      </c>
    </row>
    <row r="101" spans="1:12" ht="76.5">
      <c r="A101" s="104" t="s">
        <v>197</v>
      </c>
      <c r="B101" s="109"/>
      <c r="C101" s="109"/>
      <c r="D101" s="109"/>
      <c r="E101" s="109"/>
      <c r="F101" s="109"/>
      <c r="G101" s="109"/>
      <c r="H101" s="109"/>
      <c r="I101" s="109"/>
      <c r="J101" s="25"/>
      <c r="K101" s="25"/>
      <c r="L101" s="25" t="str">
        <f>A101</f>
        <v>Wij kunnen het ons voorstellen dat het beheren van een gebouw of de daarin aanwezige installaties een flinke klus is. Goed personeel is schaars en de wetgeving en mogelijkheden die er van toepassing zijn, worden steeds uitgebreider. Als leverancier van automatiseringsoplossingen hebben wij zicht op een deel daarvan en daarom willen wij u graag informeren over de laatste stand van zaken op het gebied van verplichtingen en mogelijkheden rondom de thema's energiebesparing en cybersecurity. Twee thema's die zeer actueel zijn en welke van grote waarde voor uw organisatie kunnen zijn.</v>
      </c>
    </row>
    <row r="102" spans="1:12">
      <c r="A102" s="11"/>
      <c r="B102" s="26"/>
      <c r="C102" s="26"/>
      <c r="D102" s="26"/>
      <c r="E102" s="26"/>
      <c r="F102" s="26"/>
      <c r="G102" s="26"/>
      <c r="H102" s="26"/>
      <c r="I102" s="26"/>
      <c r="J102" s="25"/>
      <c r="K102" s="25"/>
    </row>
    <row r="103" spans="1:12" ht="51">
      <c r="A103" s="104" t="s">
        <v>195</v>
      </c>
      <c r="B103" s="104"/>
      <c r="C103" s="104"/>
      <c r="D103" s="104"/>
      <c r="E103" s="104"/>
      <c r="F103" s="104"/>
      <c r="G103" s="104"/>
      <c r="H103" s="104"/>
      <c r="I103" s="104"/>
      <c r="J103" s="25"/>
      <c r="K103" s="25"/>
      <c r="L103" s="25" t="str">
        <f>A103</f>
        <v>EQUANS Building Automation kan u helpen, door bijvoorbeeld rapportages te laten genereren met data die al in uw Gebouwbeheersysteem aanwezig is, of door samen met u een risico assesment op het gebied van cybersecurity uit te voeren. Maar het eerste inzicht wat we u kunnen bieden, is inzicht in van toepassing zijnde regelgeving.</v>
      </c>
    </row>
    <row r="104" spans="1:12" outlineLevel="1">
      <c r="A104" s="11"/>
      <c r="B104" s="11"/>
      <c r="C104" s="11"/>
      <c r="D104" s="11"/>
      <c r="E104" s="11"/>
      <c r="F104" s="11"/>
      <c r="G104" s="11"/>
      <c r="H104" s="11"/>
      <c r="I104" s="11"/>
      <c r="J104" s="25"/>
      <c r="K104" s="25"/>
    </row>
    <row r="105" spans="1:12" outlineLevel="1">
      <c r="A105" s="109" t="s">
        <v>193</v>
      </c>
      <c r="B105" s="109"/>
      <c r="C105" s="109"/>
      <c r="D105" s="109"/>
      <c r="E105" s="109"/>
      <c r="F105" s="109"/>
      <c r="G105" s="109"/>
      <c r="H105" s="109"/>
      <c r="I105" s="109"/>
      <c r="J105" s="25"/>
      <c r="K105" s="25"/>
      <c r="L105" s="25" t="str">
        <f>A105</f>
        <v>Voor wat betreft energiebesparing kunnen de volgende bepalingen voor u van toepassing zijn:</v>
      </c>
    </row>
    <row r="106" spans="1:12" ht="102" outlineLevel="1">
      <c r="A106" s="106" t="s">
        <v>211</v>
      </c>
      <c r="B106" s="104"/>
      <c r="C106" s="104"/>
      <c r="D106" s="104"/>
      <c r="E106" s="104"/>
      <c r="F106" s="104"/>
      <c r="G106" s="104"/>
      <c r="H106" s="104"/>
      <c r="I106" s="104"/>
      <c r="J106" s="25"/>
      <c r="K106" s="25"/>
      <c r="L106" s="25" t="str">
        <f>A106</f>
        <v>·         energiebesparingsplicht, met bijbehorende informatie- of onderzoeksplicht energiebesparing
·         EED-auditplicht
·         rapportageverplichting werkgebonden personenmobiliteit
·         energielabelplicht voor (overheids)gebouwen
·         energielabel C-plicht voor kantoorgebouwen
·         energieprestatie-eisen bij nieuwbouw en renovatie van gebouwen
·         energieprestatie-eisen bij installatie en renovatie van gebouwinstallaties
·         gebouwautomatisering en controlesysteem (GACS) verplichting</v>
      </c>
    </row>
    <row r="107" spans="1:12" ht="25.5" outlineLevel="1">
      <c r="A107" s="104" t="s">
        <v>190</v>
      </c>
      <c r="B107" s="104"/>
      <c r="C107" s="104"/>
      <c r="D107" s="104"/>
      <c r="E107" s="104"/>
      <c r="F107" s="104"/>
      <c r="G107" s="104"/>
      <c r="H107" s="104"/>
      <c r="I107" s="104"/>
      <c r="J107" s="25"/>
      <c r="K107" s="25"/>
      <c r="L107" s="25" t="str">
        <f>A107</f>
        <v>Om precies te zien wat op het gebied van energiebesparing voor uw organisatie van toepassing is, heeft de overheid een website met informatie en een checklist ingericht:</v>
      </c>
    </row>
    <row r="108" spans="1:12" outlineLevel="1">
      <c r="A108" s="110" t="s">
        <v>192</v>
      </c>
      <c r="B108" s="110"/>
      <c r="C108" s="110"/>
      <c r="D108" s="110"/>
      <c r="E108" s="110"/>
      <c r="F108" s="110"/>
      <c r="G108" s="110"/>
      <c r="H108" s="110"/>
      <c r="I108" s="110"/>
      <c r="J108" s="25"/>
      <c r="K108" s="25"/>
      <c r="L108" s="25" t="str">
        <f>A108</f>
        <v>Checklist energiebesparingsverplichtingen door RVO</v>
      </c>
    </row>
    <row r="109" spans="1:12">
      <c r="A109" s="27"/>
      <c r="B109" s="27"/>
      <c r="C109" s="27"/>
      <c r="D109" s="27"/>
      <c r="E109" s="27"/>
      <c r="F109" s="27"/>
      <c r="G109" s="27"/>
      <c r="H109" s="27"/>
      <c r="I109" s="27"/>
      <c r="J109" s="25"/>
      <c r="K109" s="25"/>
    </row>
    <row r="110" spans="1:12" ht="38.25" outlineLevel="1">
      <c r="A110" s="107" t="s">
        <v>229</v>
      </c>
      <c r="B110" s="107"/>
      <c r="C110" s="107"/>
      <c r="D110" s="107"/>
      <c r="E110" s="107"/>
      <c r="F110" s="107"/>
      <c r="G110" s="107"/>
      <c r="H110" s="107"/>
      <c r="I110" s="107"/>
      <c r="J110" s="25"/>
      <c r="K110" s="25"/>
      <c r="L110" s="25" t="str">
        <f t="shared" ref="L110:L115" si="0">A110</f>
        <v>Op het gebied van cybersecurity is de NIS2 richtlijn de belangrijkste, welke eind 2024 van kracht zal zijn. Om toe te lichten wat die voor uw organisatie zal betekenen, heeft het Nationaal CyberSecurity Centrum een website ingericht:</v>
      </c>
    </row>
    <row r="111" spans="1:12" outlineLevel="1">
      <c r="A111" s="110" t="s">
        <v>191</v>
      </c>
      <c r="B111" s="110"/>
      <c r="C111" s="110"/>
      <c r="D111" s="110"/>
      <c r="E111" s="110"/>
      <c r="F111" s="110"/>
      <c r="G111" s="110"/>
      <c r="H111" s="110"/>
      <c r="I111" s="110"/>
      <c r="J111" s="25"/>
      <c r="K111" s="25"/>
      <c r="L111" s="25" t="str">
        <f t="shared" si="0"/>
        <v>Website cybersecurity NIS2 door het NCSC</v>
      </c>
    </row>
    <row r="112" spans="1:12">
      <c r="A112" s="13"/>
      <c r="B112" s="13"/>
      <c r="C112" s="13"/>
      <c r="D112" s="13"/>
      <c r="E112" s="13"/>
      <c r="F112" s="13"/>
      <c r="G112" s="13"/>
      <c r="H112" s="13"/>
      <c r="I112" s="13"/>
      <c r="J112" s="25"/>
      <c r="K112" s="25"/>
      <c r="L112" s="25">
        <f t="shared" si="0"/>
        <v>0</v>
      </c>
    </row>
    <row r="113" spans="1:12" ht="76.5" outlineLevel="1">
      <c r="A113" s="104" t="s">
        <v>196</v>
      </c>
      <c r="B113" s="104"/>
      <c r="C113" s="104"/>
      <c r="D113" s="104"/>
      <c r="E113" s="104"/>
      <c r="F113" s="104"/>
      <c r="G113" s="104"/>
      <c r="H113" s="104"/>
      <c r="I113" s="104"/>
      <c r="J113" s="25"/>
      <c r="K113" s="25"/>
      <c r="L113" s="25" t="str">
        <f t="shared" si="0"/>
        <v>Daarnaast zijn er ook andere thema's, waar (nog) geen wetgeving aan verbonden is, die interessant voor u kunnen zijn. Voorbeelden hiervan zijn de uitdagingen rondom netcongestie, het verlagen van uw piekverbruik om overschrijdingen van aansluitvermogen te voorkomen of het aansluitvermogen te kunnen reduceren. Maar ook Smart oplossingen waar machine learning of artificial intellegence een rol kunnen spelen, zoals Grids, Smart Buildings, Smart Workplace toepassingen, of de basis van dit alles; het Smart Ready maken van uw gebouw en installaties.</v>
      </c>
    </row>
    <row r="114" spans="1:12" outlineLevel="1">
      <c r="A114" s="13"/>
      <c r="B114" s="13"/>
      <c r="C114" s="13"/>
      <c r="D114" s="13"/>
      <c r="E114" s="13"/>
      <c r="F114" s="13"/>
      <c r="G114" s="13"/>
      <c r="H114" s="13"/>
      <c r="I114" s="13"/>
      <c r="J114" s="25"/>
      <c r="K114" s="25"/>
      <c r="L114" s="25">
        <f t="shared" si="0"/>
        <v>0</v>
      </c>
    </row>
    <row r="115" spans="1:12" ht="38.25">
      <c r="A115" s="104" t="s">
        <v>194</v>
      </c>
      <c r="B115" s="104"/>
      <c r="C115" s="104"/>
      <c r="D115" s="104"/>
      <c r="E115" s="104"/>
      <c r="F115" s="104"/>
      <c r="G115" s="104"/>
      <c r="H115" s="104"/>
      <c r="I115" s="104"/>
      <c r="J115" s="25"/>
      <c r="K115" s="25"/>
      <c r="L115" s="25" t="str">
        <f t="shared" si="0"/>
        <v>Mocht u meer willen weten over hoe EQUANS u bij één of meerdere van deze onderwerpen kan helpen, neem dan gerust contact op met Walter Koenders, bereikbaar op telefoonnummer 06 - 106 016 34 of per email aan Walter.Koenders@EQUANS.com, of neem alvast een kijkje op onze website:</v>
      </c>
    </row>
    <row r="116" spans="1:12" ht="12.75" customHeight="1">
      <c r="A116" s="105" t="s">
        <v>198</v>
      </c>
      <c r="B116" s="105"/>
      <c r="C116" s="105"/>
      <c r="D116" s="105"/>
      <c r="E116" s="105"/>
      <c r="F116" s="105"/>
      <c r="G116" s="105"/>
      <c r="H116" s="105"/>
      <c r="I116" s="105"/>
      <c r="J116" s="25"/>
      <c r="K116" s="25"/>
      <c r="L116" s="25">
        <f>B116</f>
        <v>0</v>
      </c>
    </row>
    <row r="117" spans="1:12">
      <c r="B117" s="13"/>
      <c r="C117" s="13"/>
      <c r="D117" s="13"/>
      <c r="E117" s="13"/>
      <c r="F117" s="13"/>
      <c r="G117" s="13"/>
      <c r="H117" s="13"/>
      <c r="I117" s="13"/>
      <c r="J117" s="25"/>
      <c r="K117" s="25"/>
      <c r="L117" s="25">
        <f>B117</f>
        <v>0</v>
      </c>
    </row>
    <row r="118" spans="1:12">
      <c r="B118" s="13"/>
      <c r="C118" s="13"/>
      <c r="D118" s="13"/>
      <c r="E118" s="13"/>
      <c r="F118" s="13"/>
      <c r="G118" s="13"/>
      <c r="H118" s="13"/>
      <c r="I118" s="13"/>
      <c r="J118" s="25"/>
      <c r="K118" s="25"/>
      <c r="L118" s="25">
        <f>B118</f>
        <v>0</v>
      </c>
    </row>
    <row r="119" spans="1:12">
      <c r="B119" s="13"/>
      <c r="C119" s="13"/>
      <c r="D119" s="13"/>
      <c r="E119" s="13"/>
      <c r="F119" s="13"/>
      <c r="G119" s="13"/>
      <c r="H119" s="13"/>
      <c r="I119" s="13"/>
      <c r="J119" s="25"/>
      <c r="K119" s="25"/>
    </row>
    <row r="120" spans="1:12">
      <c r="A120" s="13"/>
      <c r="B120" s="13"/>
      <c r="C120" s="13"/>
      <c r="D120" s="13"/>
      <c r="E120" s="13"/>
      <c r="F120" s="13"/>
      <c r="G120" s="13"/>
      <c r="H120" s="13"/>
      <c r="I120" s="13"/>
      <c r="J120" s="25"/>
      <c r="K120" s="25"/>
    </row>
    <row r="121" spans="1:12">
      <c r="A121" s="13"/>
      <c r="B121" s="13"/>
      <c r="C121" s="13"/>
      <c r="D121" s="13"/>
      <c r="E121" s="13"/>
      <c r="F121" s="13"/>
      <c r="G121" s="13"/>
      <c r="H121" s="13"/>
      <c r="I121" s="13"/>
      <c r="J121" s="25"/>
      <c r="K121" s="25"/>
    </row>
    <row r="122" spans="1:12">
      <c r="A122" s="13"/>
      <c r="B122" s="13"/>
      <c r="C122" s="13"/>
      <c r="D122" s="13"/>
      <c r="E122" s="13"/>
      <c r="F122" s="13"/>
      <c r="G122" s="13"/>
      <c r="H122" s="13"/>
      <c r="I122" s="13"/>
      <c r="J122" s="25"/>
      <c r="K122" s="25"/>
    </row>
    <row r="123" spans="1:12">
      <c r="A123" s="13"/>
      <c r="B123" s="13"/>
      <c r="C123" s="13"/>
      <c r="D123" s="13"/>
      <c r="E123" s="13"/>
      <c r="F123" s="13"/>
      <c r="G123" s="13"/>
      <c r="H123" s="13"/>
      <c r="I123" s="13"/>
      <c r="J123" s="25"/>
      <c r="K123" s="25"/>
    </row>
    <row r="124" spans="1:12">
      <c r="A124" s="13"/>
      <c r="B124" s="13"/>
      <c r="C124" s="13"/>
      <c r="D124" s="13"/>
      <c r="E124" s="13"/>
      <c r="F124" s="13"/>
      <c r="G124" s="13"/>
      <c r="H124" s="13"/>
      <c r="I124" s="13"/>
      <c r="J124" s="25"/>
      <c r="K124" s="25"/>
    </row>
    <row r="125" spans="1:12">
      <c r="A125" s="13"/>
      <c r="B125" s="13"/>
      <c r="C125" s="13"/>
      <c r="D125" s="13"/>
      <c r="E125" s="13"/>
      <c r="F125" s="13"/>
      <c r="G125" s="13"/>
      <c r="H125" s="13"/>
      <c r="I125" s="13"/>
      <c r="J125" s="25"/>
      <c r="K125" s="25"/>
    </row>
    <row r="126" spans="1:12">
      <c r="A126" s="13"/>
      <c r="B126" s="13"/>
      <c r="C126" s="13"/>
      <c r="D126" s="13"/>
      <c r="E126" s="13"/>
      <c r="F126" s="13"/>
      <c r="G126" s="13"/>
      <c r="H126" s="13"/>
      <c r="I126" s="13"/>
      <c r="J126" s="25"/>
      <c r="K126" s="25"/>
    </row>
    <row r="127" spans="1:12">
      <c r="A127" s="13"/>
      <c r="B127" s="13"/>
      <c r="C127" s="13"/>
      <c r="D127" s="13"/>
      <c r="E127" s="13"/>
      <c r="F127" s="13"/>
      <c r="G127" s="13"/>
      <c r="H127" s="13"/>
      <c r="I127" s="13"/>
      <c r="J127" s="25"/>
      <c r="K127" s="25"/>
    </row>
    <row r="128" spans="1:12">
      <c r="A128" s="13"/>
      <c r="B128" s="13"/>
      <c r="C128" s="13"/>
      <c r="D128" s="13"/>
      <c r="E128" s="13"/>
      <c r="F128" s="13"/>
      <c r="G128" s="13"/>
      <c r="H128" s="13"/>
      <c r="I128" s="13"/>
      <c r="J128" s="25"/>
      <c r="K128" s="25"/>
    </row>
    <row r="129" spans="1:11">
      <c r="A129" s="13"/>
      <c r="B129" s="13"/>
      <c r="C129" s="13"/>
      <c r="D129" s="13"/>
      <c r="E129" s="13"/>
      <c r="F129" s="13"/>
      <c r="G129" s="13"/>
      <c r="H129" s="13"/>
      <c r="I129" s="13"/>
      <c r="J129" s="25"/>
      <c r="K129" s="25"/>
    </row>
    <row r="130" spans="1:11">
      <c r="A130" s="13"/>
      <c r="B130" s="13"/>
      <c r="C130" s="13"/>
      <c r="D130" s="13"/>
      <c r="E130" s="13"/>
      <c r="F130" s="13"/>
      <c r="G130" s="13"/>
      <c r="H130" s="13"/>
      <c r="I130" s="13"/>
      <c r="J130" s="25"/>
      <c r="K130" s="25"/>
    </row>
    <row r="131" spans="1:11">
      <c r="A131" s="13"/>
      <c r="B131" s="13"/>
      <c r="C131" s="13"/>
      <c r="D131" s="13"/>
      <c r="E131" s="13"/>
      <c r="F131" s="13"/>
      <c r="G131" s="13"/>
      <c r="H131" s="13"/>
      <c r="I131" s="13"/>
      <c r="J131" s="25"/>
      <c r="K131" s="25"/>
    </row>
    <row r="132" spans="1:11">
      <c r="A132" s="13"/>
      <c r="B132" s="13"/>
      <c r="C132" s="13"/>
      <c r="D132" s="13"/>
      <c r="E132" s="13"/>
      <c r="F132" s="13"/>
      <c r="G132" s="13"/>
      <c r="H132" s="13"/>
      <c r="I132" s="13"/>
      <c r="J132" s="25"/>
      <c r="K132" s="25"/>
    </row>
    <row r="133" spans="1:11">
      <c r="A133" s="13"/>
      <c r="B133" s="13"/>
      <c r="C133" s="13"/>
      <c r="D133" s="13"/>
      <c r="E133" s="13"/>
      <c r="F133" s="13"/>
      <c r="G133" s="13"/>
      <c r="H133" s="13"/>
      <c r="I133" s="13"/>
      <c r="J133" s="25"/>
      <c r="K133" s="25"/>
    </row>
    <row r="134" spans="1:11">
      <c r="A134" s="13"/>
      <c r="B134" s="13"/>
      <c r="C134" s="13"/>
      <c r="D134" s="13"/>
      <c r="E134" s="13"/>
      <c r="F134" s="13"/>
      <c r="G134" s="13"/>
      <c r="H134" s="13"/>
      <c r="I134" s="13"/>
      <c r="J134" s="25"/>
      <c r="K134" s="25"/>
    </row>
    <row r="135" spans="1:11">
      <c r="A135" s="13"/>
      <c r="B135" s="13"/>
      <c r="C135" s="13"/>
      <c r="D135" s="13"/>
      <c r="E135" s="13"/>
      <c r="F135" s="13"/>
      <c r="G135" s="13"/>
      <c r="H135" s="13"/>
      <c r="I135" s="13"/>
      <c r="J135" s="25"/>
      <c r="K135" s="25"/>
    </row>
    <row r="136" spans="1:11">
      <c r="A136" s="13"/>
      <c r="B136" s="13"/>
      <c r="C136" s="13"/>
      <c r="D136" s="13"/>
      <c r="E136" s="13"/>
      <c r="F136" s="13"/>
      <c r="G136" s="13"/>
      <c r="H136" s="13"/>
      <c r="I136" s="13"/>
      <c r="J136" s="25"/>
      <c r="K136" s="25"/>
    </row>
    <row r="137" spans="1:11">
      <c r="A137" s="13"/>
      <c r="B137" s="13"/>
      <c r="C137" s="13"/>
      <c r="D137" s="13"/>
      <c r="E137" s="13"/>
      <c r="F137" s="13"/>
      <c r="G137" s="13"/>
      <c r="H137" s="13"/>
      <c r="I137" s="13"/>
      <c r="J137" s="25"/>
      <c r="K137" s="25"/>
    </row>
    <row r="138" spans="1:11">
      <c r="A138" s="13"/>
      <c r="B138" s="13"/>
      <c r="C138" s="13"/>
      <c r="D138" s="13"/>
      <c r="E138" s="13"/>
      <c r="F138" s="13"/>
      <c r="G138" s="13"/>
      <c r="H138" s="13"/>
      <c r="I138" s="13"/>
      <c r="J138" s="25"/>
      <c r="K138" s="25"/>
    </row>
    <row r="139" spans="1:11">
      <c r="A139" s="13"/>
      <c r="B139" s="13"/>
      <c r="C139" s="13"/>
      <c r="D139" s="13"/>
      <c r="E139" s="13"/>
      <c r="F139" s="13"/>
      <c r="G139" s="13"/>
      <c r="H139" s="13"/>
      <c r="I139" s="13"/>
      <c r="J139" s="25"/>
      <c r="K139" s="25"/>
    </row>
    <row r="140" spans="1:11">
      <c r="A140" s="13"/>
      <c r="B140" s="13"/>
      <c r="C140" s="13"/>
      <c r="D140" s="13"/>
      <c r="E140" s="13"/>
      <c r="F140" s="13"/>
      <c r="G140" s="13"/>
      <c r="H140" s="13"/>
      <c r="I140" s="13"/>
      <c r="J140" s="25"/>
      <c r="K140" s="25"/>
    </row>
    <row r="141" spans="1:11">
      <c r="A141" s="13"/>
      <c r="B141" s="13"/>
      <c r="C141" s="13"/>
      <c r="D141" s="13"/>
      <c r="E141" s="13"/>
      <c r="F141" s="13"/>
      <c r="G141" s="13"/>
      <c r="H141" s="13"/>
      <c r="I141" s="13"/>
      <c r="J141" s="25"/>
      <c r="K141" s="25"/>
    </row>
    <row r="142" spans="1:11">
      <c r="A142" s="13"/>
      <c r="B142" s="13"/>
      <c r="C142" s="13"/>
      <c r="D142" s="13"/>
      <c r="E142" s="13"/>
      <c r="F142" s="13"/>
      <c r="G142" s="13"/>
      <c r="H142" s="13"/>
      <c r="I142" s="13"/>
      <c r="J142" s="25"/>
      <c r="K142" s="25"/>
    </row>
    <row r="143" spans="1:11">
      <c r="A143" s="13"/>
      <c r="B143" s="13"/>
      <c r="C143" s="13"/>
      <c r="D143" s="13"/>
      <c r="E143" s="13"/>
      <c r="F143" s="13"/>
      <c r="G143" s="13"/>
      <c r="H143" s="13"/>
      <c r="I143" s="13"/>
      <c r="J143" s="25"/>
      <c r="K143" s="25"/>
    </row>
    <row r="144" spans="1:11">
      <c r="A144" s="13"/>
      <c r="B144" s="13"/>
      <c r="C144" s="13"/>
      <c r="D144" s="13"/>
      <c r="E144" s="13"/>
      <c r="F144" s="13"/>
      <c r="G144" s="13"/>
      <c r="H144" s="13"/>
      <c r="I144" s="13"/>
      <c r="J144" s="25"/>
      <c r="K144" s="25"/>
    </row>
    <row r="145" spans="1:11">
      <c r="A145" s="13"/>
      <c r="B145" s="13"/>
      <c r="C145" s="13"/>
      <c r="D145" s="13"/>
      <c r="E145" s="13"/>
      <c r="F145" s="13"/>
      <c r="G145" s="13"/>
      <c r="H145" s="13"/>
      <c r="I145" s="13"/>
      <c r="J145" s="25"/>
      <c r="K145" s="25"/>
    </row>
    <row r="146" spans="1:11">
      <c r="A146" s="13"/>
      <c r="B146" s="13"/>
      <c r="C146" s="13"/>
      <c r="D146" s="13"/>
      <c r="E146" s="13"/>
      <c r="F146" s="13"/>
      <c r="G146" s="13"/>
      <c r="H146" s="13"/>
      <c r="I146" s="13"/>
      <c r="J146" s="25"/>
      <c r="K146" s="25"/>
    </row>
    <row r="147" spans="1:11">
      <c r="A147" s="13"/>
      <c r="B147" s="13"/>
      <c r="C147" s="13"/>
      <c r="D147" s="13"/>
      <c r="E147" s="13"/>
      <c r="F147" s="13"/>
      <c r="G147" s="13"/>
      <c r="H147" s="13"/>
      <c r="I147" s="13"/>
      <c r="J147" s="25"/>
      <c r="K147" s="25"/>
    </row>
    <row r="148" spans="1:11">
      <c r="A148" s="13"/>
      <c r="B148" s="13"/>
      <c r="C148" s="13"/>
      <c r="D148" s="13"/>
      <c r="E148" s="13"/>
      <c r="F148" s="13"/>
      <c r="G148" s="13"/>
      <c r="H148" s="13"/>
      <c r="I148" s="13"/>
      <c r="J148" s="25"/>
      <c r="K148" s="25"/>
    </row>
    <row r="149" spans="1:11">
      <c r="A149" s="13"/>
      <c r="B149" s="13"/>
      <c r="C149" s="13"/>
      <c r="D149" s="13"/>
      <c r="E149" s="13"/>
      <c r="F149" s="13"/>
      <c r="G149" s="13"/>
      <c r="H149" s="13"/>
      <c r="I149" s="13"/>
      <c r="J149" s="25"/>
      <c r="K149" s="25"/>
    </row>
    <row r="150" spans="1:11">
      <c r="A150" s="13"/>
      <c r="B150" s="13"/>
      <c r="C150" s="13"/>
      <c r="D150" s="13"/>
      <c r="E150" s="13"/>
      <c r="F150" s="13"/>
      <c r="G150" s="13"/>
      <c r="H150" s="13"/>
      <c r="I150" s="13"/>
      <c r="J150" s="25"/>
      <c r="K150" s="25"/>
    </row>
    <row r="151" spans="1:11">
      <c r="A151" s="13"/>
      <c r="B151" s="13"/>
      <c r="C151" s="13"/>
      <c r="D151" s="13"/>
      <c r="E151" s="13"/>
      <c r="F151" s="13"/>
      <c r="G151" s="13"/>
      <c r="H151" s="13"/>
      <c r="I151" s="13"/>
      <c r="J151" s="25"/>
      <c r="K151" s="25"/>
    </row>
    <row r="152" spans="1:11">
      <c r="A152" s="13"/>
      <c r="B152" s="13"/>
      <c r="C152" s="13"/>
      <c r="D152" s="13"/>
      <c r="E152" s="13"/>
      <c r="F152" s="13"/>
      <c r="G152" s="13"/>
      <c r="H152" s="13"/>
      <c r="I152" s="13"/>
      <c r="J152" s="25"/>
      <c r="K152" s="25"/>
    </row>
    <row r="153" spans="1:11">
      <c r="A153" s="13"/>
      <c r="B153" s="13"/>
      <c r="C153" s="13"/>
      <c r="D153" s="13"/>
      <c r="E153" s="13"/>
      <c r="F153" s="13"/>
      <c r="G153" s="13"/>
      <c r="H153" s="13"/>
      <c r="I153" s="13"/>
      <c r="J153" s="25"/>
      <c r="K153" s="25"/>
    </row>
    <row r="154" spans="1:11">
      <c r="A154" s="13"/>
      <c r="B154" s="13"/>
      <c r="C154" s="13"/>
      <c r="D154" s="13"/>
      <c r="E154" s="13"/>
      <c r="F154" s="13"/>
      <c r="G154" s="13"/>
      <c r="H154" s="13"/>
      <c r="I154" s="13"/>
      <c r="J154" s="25"/>
      <c r="K154" s="25"/>
    </row>
    <row r="155" spans="1:11">
      <c r="A155" s="13"/>
      <c r="B155" s="13"/>
      <c r="C155" s="13"/>
      <c r="D155" s="13"/>
      <c r="E155" s="13"/>
      <c r="F155" s="13"/>
      <c r="G155" s="13"/>
      <c r="H155" s="13"/>
      <c r="I155" s="13"/>
      <c r="J155" s="25"/>
      <c r="K155" s="25"/>
    </row>
    <row r="156" spans="1:11">
      <c r="A156" s="13"/>
      <c r="B156" s="13"/>
      <c r="C156" s="13"/>
      <c r="D156" s="13"/>
      <c r="E156" s="13"/>
      <c r="F156" s="13"/>
      <c r="G156" s="13"/>
      <c r="H156" s="13"/>
      <c r="I156" s="13"/>
      <c r="J156" s="25"/>
      <c r="K156" s="25"/>
    </row>
    <row r="157" spans="1:11">
      <c r="A157" s="13"/>
      <c r="B157" s="13"/>
      <c r="C157" s="13"/>
      <c r="D157" s="13"/>
      <c r="E157" s="13"/>
      <c r="F157" s="13"/>
      <c r="G157" s="13"/>
      <c r="H157" s="13"/>
      <c r="I157" s="13"/>
      <c r="J157" s="25"/>
      <c r="K157" s="25"/>
    </row>
    <row r="158" spans="1:11">
      <c r="A158" s="13"/>
      <c r="B158" s="13"/>
      <c r="C158" s="13"/>
      <c r="D158" s="13"/>
      <c r="E158" s="13"/>
      <c r="F158" s="13"/>
      <c r="G158" s="13"/>
      <c r="H158" s="13"/>
      <c r="I158" s="13"/>
      <c r="J158" s="25"/>
      <c r="K158" s="25"/>
    </row>
    <row r="159" spans="1:11">
      <c r="A159" s="13"/>
      <c r="B159" s="13"/>
      <c r="C159" s="13"/>
      <c r="D159" s="13"/>
      <c r="E159" s="13"/>
      <c r="F159" s="13"/>
      <c r="G159" s="13"/>
      <c r="H159" s="13"/>
      <c r="I159" s="13"/>
      <c r="J159" s="25"/>
      <c r="K159" s="25"/>
    </row>
    <row r="160" spans="1:11">
      <c r="A160" s="13"/>
      <c r="B160" s="13"/>
      <c r="C160" s="13"/>
      <c r="D160" s="13"/>
      <c r="E160" s="13"/>
      <c r="F160" s="13"/>
      <c r="G160" s="13"/>
      <c r="H160" s="13"/>
      <c r="I160" s="13"/>
      <c r="J160" s="25"/>
      <c r="K160" s="25"/>
    </row>
    <row r="161" spans="1:11">
      <c r="A161" s="13"/>
      <c r="B161" s="13"/>
      <c r="C161" s="13"/>
      <c r="D161" s="13"/>
      <c r="E161" s="13"/>
      <c r="F161" s="13"/>
      <c r="G161" s="13"/>
      <c r="H161" s="13"/>
      <c r="I161" s="13"/>
      <c r="J161" s="25"/>
      <c r="K161" s="25"/>
    </row>
    <row r="162" spans="1:11">
      <c r="A162" s="13"/>
      <c r="B162" s="13"/>
      <c r="C162" s="13"/>
      <c r="D162" s="13"/>
      <c r="E162" s="13"/>
      <c r="F162" s="13"/>
      <c r="G162" s="13"/>
      <c r="H162" s="13"/>
      <c r="I162" s="13"/>
      <c r="J162" s="25"/>
      <c r="K162" s="25"/>
    </row>
    <row r="163" spans="1:11">
      <c r="A163" s="13"/>
      <c r="B163" s="13"/>
      <c r="C163" s="13"/>
      <c r="D163" s="13"/>
      <c r="E163" s="13"/>
      <c r="F163" s="13"/>
      <c r="G163" s="13"/>
      <c r="H163" s="13"/>
      <c r="I163" s="13"/>
      <c r="J163" s="25"/>
      <c r="K163" s="25"/>
    </row>
    <row r="164" spans="1:11">
      <c r="A164" s="13"/>
      <c r="B164" s="13"/>
      <c r="C164" s="13"/>
      <c r="D164" s="13"/>
      <c r="E164" s="13"/>
      <c r="F164" s="13"/>
      <c r="G164" s="13"/>
      <c r="H164" s="13"/>
      <c r="I164" s="13"/>
      <c r="J164" s="25"/>
      <c r="K164" s="25"/>
    </row>
    <row r="165" spans="1:11">
      <c r="A165" s="13"/>
      <c r="B165" s="13"/>
      <c r="C165" s="13"/>
      <c r="D165" s="13"/>
      <c r="E165" s="13"/>
      <c r="F165" s="13"/>
      <c r="G165" s="13"/>
      <c r="H165" s="13"/>
      <c r="I165" s="13"/>
      <c r="J165" s="25"/>
      <c r="K165" s="25"/>
    </row>
    <row r="166" spans="1:11">
      <c r="A166" s="13"/>
      <c r="B166" s="13"/>
      <c r="C166" s="13"/>
      <c r="D166" s="13"/>
      <c r="E166" s="13"/>
      <c r="F166" s="13"/>
      <c r="G166" s="13"/>
      <c r="H166" s="13"/>
      <c r="I166" s="13"/>
      <c r="J166" s="25"/>
      <c r="K166" s="25"/>
    </row>
    <row r="167" spans="1:11">
      <c r="A167" s="13"/>
      <c r="B167" s="13"/>
      <c r="C167" s="13"/>
      <c r="D167" s="13"/>
      <c r="E167" s="13"/>
      <c r="F167" s="13"/>
      <c r="G167" s="13"/>
      <c r="H167" s="13"/>
      <c r="I167" s="13"/>
      <c r="J167" s="25"/>
      <c r="K167" s="25"/>
    </row>
    <row r="168" spans="1:11">
      <c r="A168" s="13"/>
      <c r="B168" s="13"/>
      <c r="C168" s="13"/>
      <c r="D168" s="13"/>
      <c r="E168" s="13"/>
      <c r="F168" s="13"/>
      <c r="G168" s="13"/>
      <c r="H168" s="13"/>
      <c r="I168" s="13"/>
      <c r="J168" s="25"/>
      <c r="K168" s="25"/>
    </row>
    <row r="169" spans="1:11">
      <c r="A169" s="13"/>
      <c r="B169" s="13"/>
      <c r="C169" s="13"/>
      <c r="D169" s="13"/>
      <c r="E169" s="13"/>
      <c r="F169" s="13"/>
      <c r="G169" s="13"/>
      <c r="H169" s="13"/>
      <c r="I169" s="13"/>
      <c r="J169" s="25"/>
      <c r="K169" s="25"/>
    </row>
    <row r="170" spans="1:11">
      <c r="A170" s="13"/>
      <c r="B170" s="13"/>
      <c r="C170" s="13"/>
      <c r="D170" s="13"/>
      <c r="E170" s="13"/>
      <c r="F170" s="13"/>
      <c r="G170" s="13"/>
      <c r="H170" s="13"/>
      <c r="I170" s="13"/>
      <c r="J170" s="25"/>
      <c r="K170" s="25"/>
    </row>
    <row r="171" spans="1:11">
      <c r="A171" s="13"/>
      <c r="B171" s="13"/>
      <c r="C171" s="13"/>
      <c r="D171" s="13"/>
      <c r="E171" s="13"/>
      <c r="F171" s="13"/>
      <c r="G171" s="13"/>
      <c r="H171" s="13"/>
      <c r="I171" s="13"/>
      <c r="J171" s="25"/>
      <c r="K171" s="25"/>
    </row>
    <row r="172" spans="1:11">
      <c r="A172" s="13"/>
      <c r="B172" s="13"/>
      <c r="C172" s="13"/>
      <c r="D172" s="13"/>
      <c r="E172" s="13"/>
      <c r="F172" s="13"/>
      <c r="G172" s="13"/>
      <c r="H172" s="13"/>
      <c r="I172" s="13"/>
      <c r="J172" s="25"/>
      <c r="K172" s="25"/>
    </row>
    <row r="173" spans="1:11">
      <c r="A173" s="13"/>
      <c r="B173" s="13"/>
      <c r="C173" s="13"/>
      <c r="D173" s="13"/>
      <c r="E173" s="13"/>
      <c r="F173" s="13"/>
      <c r="G173" s="13"/>
      <c r="H173" s="13"/>
      <c r="I173" s="13"/>
      <c r="J173" s="25"/>
      <c r="K173" s="25"/>
    </row>
    <row r="174" spans="1:11">
      <c r="A174" s="13"/>
      <c r="B174" s="13"/>
      <c r="C174" s="13"/>
      <c r="D174" s="13"/>
      <c r="E174" s="13"/>
      <c r="F174" s="13"/>
      <c r="G174" s="13"/>
      <c r="H174" s="13"/>
      <c r="I174" s="13"/>
      <c r="J174" s="25"/>
      <c r="K174" s="25"/>
    </row>
    <row r="175" spans="1:11">
      <c r="A175" s="13"/>
      <c r="B175" s="13"/>
      <c r="C175" s="13"/>
      <c r="D175" s="13"/>
      <c r="E175" s="13"/>
      <c r="F175" s="13"/>
      <c r="G175" s="13"/>
      <c r="H175" s="13"/>
      <c r="I175" s="13"/>
      <c r="J175" s="25"/>
      <c r="K175" s="25"/>
    </row>
    <row r="176" spans="1:11">
      <c r="A176" s="13"/>
      <c r="B176" s="13"/>
      <c r="C176" s="13"/>
      <c r="D176" s="13"/>
      <c r="E176" s="13"/>
      <c r="F176" s="13"/>
      <c r="G176" s="13"/>
      <c r="H176" s="13"/>
      <c r="I176" s="13"/>
      <c r="J176" s="25"/>
      <c r="K176" s="25"/>
    </row>
    <row r="177" spans="1:11">
      <c r="A177" s="13"/>
      <c r="B177" s="13"/>
      <c r="C177" s="13"/>
      <c r="D177" s="13"/>
      <c r="E177" s="13"/>
      <c r="F177" s="13"/>
      <c r="G177" s="13"/>
      <c r="H177" s="13"/>
      <c r="I177" s="13"/>
      <c r="J177" s="25"/>
      <c r="K177" s="25"/>
    </row>
    <row r="178" spans="1:11">
      <c r="A178" s="13"/>
      <c r="B178" s="13"/>
      <c r="C178" s="13"/>
      <c r="D178" s="13"/>
      <c r="E178" s="13"/>
      <c r="F178" s="13"/>
      <c r="G178" s="13"/>
      <c r="H178" s="13"/>
      <c r="I178" s="13"/>
      <c r="J178" s="25"/>
      <c r="K178" s="25"/>
    </row>
    <row r="179" spans="1:11">
      <c r="A179" s="13"/>
      <c r="B179" s="13"/>
      <c r="C179" s="13"/>
      <c r="D179" s="13"/>
      <c r="E179" s="13"/>
      <c r="F179" s="13"/>
      <c r="G179" s="13"/>
      <c r="H179" s="13"/>
      <c r="I179" s="13"/>
      <c r="J179" s="25"/>
      <c r="K179" s="25"/>
    </row>
    <row r="180" spans="1:11">
      <c r="A180" s="13"/>
      <c r="B180" s="13"/>
      <c r="C180" s="13"/>
      <c r="D180" s="13"/>
      <c r="E180" s="13"/>
      <c r="F180" s="13"/>
      <c r="G180" s="13"/>
      <c r="H180" s="13"/>
      <c r="I180" s="13"/>
      <c r="J180" s="25"/>
      <c r="K180" s="25"/>
    </row>
    <row r="181" spans="1:11">
      <c r="A181" s="13"/>
      <c r="B181" s="13"/>
      <c r="C181" s="13"/>
      <c r="D181" s="13"/>
      <c r="E181" s="13"/>
      <c r="F181" s="13"/>
      <c r="G181" s="13"/>
      <c r="H181" s="13"/>
      <c r="I181" s="13"/>
      <c r="J181" s="25"/>
      <c r="K181" s="25"/>
    </row>
    <row r="182" spans="1:11">
      <c r="A182" s="13"/>
      <c r="B182" s="13"/>
      <c r="C182" s="13"/>
      <c r="D182" s="13"/>
      <c r="E182" s="13"/>
      <c r="F182" s="13"/>
      <c r="G182" s="13"/>
      <c r="H182" s="13"/>
      <c r="I182" s="13"/>
      <c r="J182" s="25"/>
      <c r="K182" s="25"/>
    </row>
    <row r="183" spans="1:11">
      <c r="A183" s="13"/>
      <c r="B183" s="13"/>
      <c r="C183" s="13"/>
      <c r="D183" s="13"/>
      <c r="E183" s="13"/>
      <c r="F183" s="13"/>
      <c r="G183" s="13"/>
      <c r="H183" s="13"/>
      <c r="I183" s="13"/>
      <c r="J183" s="25"/>
      <c r="K183" s="25"/>
    </row>
    <row r="184" spans="1:11">
      <c r="A184" s="13"/>
      <c r="B184" s="13"/>
      <c r="C184" s="13"/>
      <c r="D184" s="13"/>
      <c r="E184" s="13"/>
      <c r="F184" s="13"/>
      <c r="G184" s="13"/>
      <c r="H184" s="13"/>
      <c r="I184" s="13"/>
      <c r="J184" s="25"/>
      <c r="K184" s="25"/>
    </row>
    <row r="185" spans="1:11">
      <c r="A185" s="13"/>
      <c r="B185" s="13"/>
      <c r="C185" s="13"/>
      <c r="D185" s="13"/>
      <c r="E185" s="13"/>
      <c r="F185" s="13"/>
      <c r="G185" s="13"/>
      <c r="H185" s="13"/>
      <c r="I185" s="13"/>
      <c r="J185" s="25"/>
      <c r="K185" s="25"/>
    </row>
    <row r="186" spans="1:11">
      <c r="A186" s="13"/>
      <c r="B186" s="13"/>
      <c r="C186" s="13"/>
      <c r="D186" s="13"/>
      <c r="E186" s="13"/>
      <c r="F186" s="13"/>
      <c r="G186" s="13"/>
      <c r="H186" s="13"/>
      <c r="I186" s="13"/>
      <c r="J186" s="25"/>
      <c r="K186" s="25"/>
    </row>
    <row r="187" spans="1:11">
      <c r="A187" s="13"/>
      <c r="B187" s="13"/>
      <c r="C187" s="13"/>
      <c r="D187" s="13"/>
      <c r="E187" s="13"/>
      <c r="F187" s="13"/>
      <c r="G187" s="13"/>
      <c r="H187" s="13"/>
      <c r="I187" s="13"/>
      <c r="J187" s="25"/>
      <c r="K187" s="25"/>
    </row>
    <row r="188" spans="1:11">
      <c r="A188" s="13"/>
      <c r="B188" s="13"/>
      <c r="C188" s="13"/>
      <c r="D188" s="13"/>
      <c r="E188" s="13"/>
      <c r="F188" s="13"/>
      <c r="G188" s="13"/>
      <c r="H188" s="13"/>
      <c r="I188" s="13"/>
      <c r="J188" s="25"/>
      <c r="K188" s="25"/>
    </row>
    <row r="189" spans="1:11">
      <c r="A189" s="13"/>
      <c r="B189" s="13"/>
      <c r="C189" s="13"/>
      <c r="D189" s="13"/>
      <c r="E189" s="13"/>
      <c r="F189" s="13"/>
      <c r="G189" s="13"/>
      <c r="H189" s="13"/>
      <c r="I189" s="13"/>
      <c r="J189" s="25"/>
      <c r="K189" s="25"/>
    </row>
    <row r="190" spans="1:11">
      <c r="A190" s="13"/>
      <c r="B190" s="13"/>
      <c r="C190" s="13"/>
      <c r="D190" s="13"/>
      <c r="E190" s="13"/>
      <c r="F190" s="13"/>
      <c r="G190" s="13"/>
      <c r="H190" s="13"/>
      <c r="I190" s="13"/>
      <c r="J190" s="25"/>
      <c r="K190" s="25"/>
    </row>
    <row r="191" spans="1:11">
      <c r="A191" s="13"/>
      <c r="B191" s="13"/>
      <c r="C191" s="13"/>
      <c r="D191" s="13"/>
      <c r="E191" s="13"/>
      <c r="F191" s="13"/>
      <c r="G191" s="13"/>
      <c r="H191" s="13"/>
      <c r="I191" s="13"/>
      <c r="J191" s="25"/>
      <c r="K191" s="25"/>
    </row>
    <row r="192" spans="1:11">
      <c r="A192" s="13"/>
      <c r="B192" s="13"/>
      <c r="C192" s="13"/>
      <c r="D192" s="13"/>
      <c r="E192" s="13"/>
      <c r="F192" s="13"/>
      <c r="G192" s="13"/>
      <c r="H192" s="13"/>
      <c r="I192" s="13"/>
      <c r="J192" s="25"/>
      <c r="K192" s="25"/>
    </row>
    <row r="193" spans="1:11">
      <c r="A193" s="13"/>
      <c r="B193" s="13"/>
      <c r="C193" s="13"/>
      <c r="D193" s="13"/>
      <c r="E193" s="13"/>
      <c r="F193" s="13"/>
      <c r="G193" s="13"/>
      <c r="H193" s="13"/>
      <c r="I193" s="13"/>
      <c r="J193" s="25"/>
      <c r="K193" s="25"/>
    </row>
    <row r="194" spans="1:11">
      <c r="A194" s="13"/>
      <c r="B194" s="13"/>
      <c r="C194" s="13"/>
      <c r="D194" s="13"/>
      <c r="E194" s="13"/>
      <c r="F194" s="13"/>
      <c r="G194" s="13"/>
      <c r="H194" s="13"/>
      <c r="I194" s="13"/>
      <c r="J194" s="25"/>
      <c r="K194" s="25"/>
    </row>
    <row r="195" spans="1:11">
      <c r="A195" s="13"/>
      <c r="B195" s="13"/>
      <c r="C195" s="13"/>
      <c r="D195" s="13"/>
      <c r="E195" s="13"/>
      <c r="F195" s="13"/>
      <c r="G195" s="13"/>
      <c r="H195" s="13"/>
      <c r="I195" s="13"/>
      <c r="J195" s="25"/>
      <c r="K195" s="25"/>
    </row>
    <row r="196" spans="1:11">
      <c r="A196" s="13"/>
      <c r="B196" s="13"/>
      <c r="C196" s="13"/>
      <c r="D196" s="13"/>
      <c r="E196" s="13"/>
      <c r="F196" s="13"/>
      <c r="G196" s="13"/>
      <c r="H196" s="13"/>
      <c r="I196" s="13"/>
      <c r="J196" s="25"/>
      <c r="K196" s="25"/>
    </row>
    <row r="197" spans="1:11">
      <c r="A197" s="13"/>
      <c r="B197" s="13"/>
      <c r="C197" s="13"/>
      <c r="D197" s="13"/>
      <c r="E197" s="13"/>
      <c r="F197" s="13"/>
      <c r="G197" s="13"/>
      <c r="H197" s="13"/>
      <c r="I197" s="13"/>
      <c r="J197" s="25"/>
      <c r="K197" s="25"/>
    </row>
    <row r="198" spans="1:11">
      <c r="A198" s="13"/>
      <c r="B198" s="13"/>
      <c r="C198" s="13"/>
      <c r="D198" s="13"/>
      <c r="E198" s="13"/>
      <c r="F198" s="13"/>
      <c r="G198" s="13"/>
      <c r="H198" s="13"/>
      <c r="I198" s="13"/>
      <c r="J198" s="25"/>
      <c r="K198" s="25"/>
    </row>
    <row r="199" spans="1:11">
      <c r="A199" s="13"/>
      <c r="B199" s="13"/>
      <c r="C199" s="13"/>
      <c r="D199" s="13"/>
      <c r="E199" s="13"/>
      <c r="F199" s="13"/>
      <c r="G199" s="13"/>
      <c r="H199" s="13"/>
      <c r="I199" s="13"/>
    </row>
  </sheetData>
  <sheetProtection selectLockedCells="1"/>
  <mergeCells count="27">
    <mergeCell ref="A1:D1"/>
    <mergeCell ref="E1:H1"/>
    <mergeCell ref="A103:I103"/>
    <mergeCell ref="A108:I108"/>
    <mergeCell ref="A107:I107"/>
    <mergeCell ref="A86:I86"/>
    <mergeCell ref="A69:D70"/>
    <mergeCell ref="A72:I72"/>
    <mergeCell ref="A5:I5"/>
    <mergeCell ref="A6:I6"/>
    <mergeCell ref="A10:I10"/>
    <mergeCell ref="A11:I11"/>
    <mergeCell ref="A12:I12"/>
    <mergeCell ref="A51:I51"/>
    <mergeCell ref="A49:I49"/>
    <mergeCell ref="A47:I47"/>
    <mergeCell ref="A46:I46"/>
    <mergeCell ref="A64:I64"/>
    <mergeCell ref="A99:I99"/>
    <mergeCell ref="A101:I101"/>
    <mergeCell ref="A111:I111"/>
    <mergeCell ref="A105:I105"/>
    <mergeCell ref="A113:I113"/>
    <mergeCell ref="A115:I115"/>
    <mergeCell ref="A116:I116"/>
    <mergeCell ref="A106:I106"/>
    <mergeCell ref="A110:I110"/>
  </mergeCells>
  <conditionalFormatting sqref="I62">
    <cfRule type="beginsWith" dxfId="4" priority="31" operator="beginsWith" text="ON">
      <formula>LEFT(I62,LEN("ON"))="ON"</formula>
    </cfRule>
  </conditionalFormatting>
  <conditionalFormatting sqref="G75 G78 G81:G82">
    <cfRule type="dataBar" priority="30">
      <dataBar>
        <cfvo type="num" val="0"/>
        <cfvo type="num" val="1"/>
        <color theme="9"/>
      </dataBar>
      <extLst>
        <ext xmlns:x14="http://schemas.microsoft.com/office/spreadsheetml/2009/9/main" uri="{B025F937-C7B1-47D3-B67F-A62EFF666E3E}">
          <x14:id>{32852DDA-4407-4FFC-8830-A5043297FE07}</x14:id>
        </ext>
      </extLst>
    </cfRule>
  </conditionalFormatting>
  <conditionalFormatting sqref="I57">
    <cfRule type="dataBar" priority="28">
      <dataBar>
        <cfvo type="num" val="0"/>
        <cfvo type="num" val="1"/>
        <color theme="9"/>
      </dataBar>
      <extLst>
        <ext xmlns:x14="http://schemas.microsoft.com/office/spreadsheetml/2009/9/main" uri="{B025F937-C7B1-47D3-B67F-A62EFF666E3E}">
          <x14:id>{08F494F7-6139-46A0-8C92-4207D9BB3FF0}</x14:id>
        </ext>
      </extLst>
    </cfRule>
  </conditionalFormatting>
  <conditionalFormatting sqref="I55">
    <cfRule type="beginsWith" dxfId="3" priority="27" operator="beginsWith" text="ON">
      <formula>LEFT(I55,LEN("ON"))="ON"</formula>
    </cfRule>
  </conditionalFormatting>
  <conditionalFormatting sqref="G78 G81">
    <cfRule type="notContainsText" dxfId="2" priority="25" operator="notContains" text="nvt">
      <formula>ISERROR(SEARCH("nvt",G78))</formula>
    </cfRule>
  </conditionalFormatting>
  <conditionalFormatting sqref="I59">
    <cfRule type="dataBar" priority="24">
      <dataBar>
        <cfvo type="num" val="0"/>
        <cfvo type="num" val="$I$58"/>
        <color theme="9"/>
      </dataBar>
      <extLst>
        <ext xmlns:x14="http://schemas.microsoft.com/office/spreadsheetml/2009/9/main" uri="{B025F937-C7B1-47D3-B67F-A62EFF666E3E}">
          <x14:id>{DD6F9B9A-D49A-4848-8C1C-310E0E6F6F2D}</x14:id>
        </ext>
      </extLst>
    </cfRule>
  </conditionalFormatting>
  <conditionalFormatting sqref="I60">
    <cfRule type="dataBar" priority="23">
      <dataBar>
        <cfvo type="num" val="0"/>
        <cfvo type="num" val="$I$58"/>
        <color rgb="FFC00000"/>
      </dataBar>
      <extLst>
        <ext xmlns:x14="http://schemas.microsoft.com/office/spreadsheetml/2009/9/main" uri="{B025F937-C7B1-47D3-B67F-A62EFF666E3E}">
          <x14:id>{668B877C-0AD1-43BE-AD1B-93E3378B36E8}</x14:id>
        </ext>
      </extLst>
    </cfRule>
  </conditionalFormatting>
  <conditionalFormatting sqref="H81:H82 H78">
    <cfRule type="dataBar" priority="15">
      <dataBar>
        <cfvo type="num" val="0"/>
        <cfvo type="num" val="$I$58"/>
        <color theme="9"/>
      </dataBar>
      <extLst>
        <ext xmlns:x14="http://schemas.microsoft.com/office/spreadsheetml/2009/9/main" uri="{B025F937-C7B1-47D3-B67F-A62EFF666E3E}">
          <x14:id>{4FCF4651-3CC9-4B15-BFAE-B526D20206EA}</x14:id>
        </ext>
      </extLst>
    </cfRule>
  </conditionalFormatting>
  <conditionalFormatting sqref="I81:I82 I78">
    <cfRule type="dataBar" priority="14">
      <dataBar>
        <cfvo type="num" val="0"/>
        <cfvo type="num" val="$I$58"/>
        <color rgb="FFC00000"/>
      </dataBar>
      <extLst>
        <ext xmlns:x14="http://schemas.microsoft.com/office/spreadsheetml/2009/9/main" uri="{B025F937-C7B1-47D3-B67F-A62EFF666E3E}">
          <x14:id>{9340963F-2ACE-494C-A10E-43877839A08B}</x14:id>
        </ext>
      </extLst>
    </cfRule>
  </conditionalFormatting>
  <conditionalFormatting sqref="H78:I78 H81:I81 H75:I75">
    <cfRule type="notContainsBlanks" dxfId="1" priority="32">
      <formula>LEN(TRIM(H75))&gt;0</formula>
    </cfRule>
  </conditionalFormatting>
  <conditionalFormatting sqref="H75">
    <cfRule type="dataBar" priority="12">
      <dataBar>
        <cfvo type="num" val="0"/>
        <cfvo type="num" val="$I$58"/>
        <color theme="9"/>
      </dataBar>
      <extLst>
        <ext xmlns:x14="http://schemas.microsoft.com/office/spreadsheetml/2009/9/main" uri="{B025F937-C7B1-47D3-B67F-A62EFF666E3E}">
          <x14:id>{CF6076B2-793C-4C30-B08E-5EDD7C3BCE2B}</x14:id>
        </ext>
      </extLst>
    </cfRule>
  </conditionalFormatting>
  <conditionalFormatting sqref="I75">
    <cfRule type="dataBar" priority="11">
      <dataBar>
        <cfvo type="num" val="0"/>
        <cfvo type="num" val="$I$58"/>
        <color rgb="FFC00000"/>
      </dataBar>
      <extLst>
        <ext xmlns:x14="http://schemas.microsoft.com/office/spreadsheetml/2009/9/main" uri="{B025F937-C7B1-47D3-B67F-A62EFF666E3E}">
          <x14:id>{CE026813-AF53-4E91-BA61-94F386E04DF2}</x14:id>
        </ext>
      </extLst>
    </cfRule>
  </conditionalFormatting>
  <conditionalFormatting sqref="G75">
    <cfRule type="notContainsText" dxfId="0" priority="10" operator="notContains" text="nvt">
      <formula>ISERROR(SEARCH("nvt",G75))</formula>
    </cfRule>
  </conditionalFormatting>
  <hyperlinks>
    <hyperlink ref="A108:I108" r:id="rId1" display="Naar website RVO" xr:uid="{8591CFF2-0A3D-4001-B14F-C1EC86864DA7}"/>
    <hyperlink ref="A111:I111" r:id="rId2" display="Website cybersecurity NIS2 door het NCSC" xr:uid="{055882C4-DDFD-4C87-A44B-8EAB6026AFC1}"/>
    <hyperlink ref="A116:I116" r:id="rId3" display="EQUANS website" xr:uid="{D20FE5BF-4696-4309-9061-53FA9FFB898A}"/>
  </hyperlinks>
  <pageMargins left="0.7" right="0.7" top="1.4479166666666667" bottom="0.75" header="0.30208333333333331" footer="0.3"/>
  <pageSetup paperSize="9" scale="99" orientation="portrait"/>
  <headerFooter differentFirst="1">
    <oddHeader>&amp;C&amp;G</oddHeader>
    <oddFooter>&amp;L&amp;" ,Standaard"&amp;D&amp;C&amp;F&amp;R&amp;P van &amp;N</oddFooter>
    <firstHeader>&amp;C&amp;G</firstHeader>
  </headerFooter>
  <rowBreaks count="4" manualBreakCount="4">
    <brk id="42" max="9" man="1"/>
    <brk id="70" max="16383" man="1"/>
    <brk id="84" max="16383" man="1"/>
    <brk id="97" max="16383" man="1"/>
  </rowBreaks>
  <colBreaks count="1" manualBreakCount="1">
    <brk id="11" max="1048575" man="1"/>
  </colBreaks>
  <drawing r:id="rId4"/>
  <legacyDrawingHF r:id="rId5"/>
  <extLst>
    <ext xmlns:x14="http://schemas.microsoft.com/office/spreadsheetml/2009/9/main" uri="{78C0D931-6437-407d-A8EE-F0AAD7539E65}">
      <x14:conditionalFormattings>
        <x14:conditionalFormatting xmlns:xm="http://schemas.microsoft.com/office/excel/2006/main">
          <x14:cfRule type="dataBar" id="{32852DDA-4407-4FFC-8830-A5043297FE07}">
            <x14:dataBar minLength="0" maxLength="100" gradient="0">
              <x14:cfvo type="num">
                <xm:f>0</xm:f>
              </x14:cfvo>
              <x14:cfvo type="num">
                <xm:f>1</xm:f>
              </x14:cfvo>
              <x14:negativeFillColor rgb="FFFF0000"/>
              <x14:axisColor rgb="FF000000"/>
            </x14:dataBar>
          </x14:cfRule>
          <xm:sqref>G75 G78 G81:G82</xm:sqref>
        </x14:conditionalFormatting>
        <x14:conditionalFormatting xmlns:xm="http://schemas.microsoft.com/office/excel/2006/main">
          <x14:cfRule type="dataBar" id="{08F494F7-6139-46A0-8C92-4207D9BB3FF0}">
            <x14:dataBar minLength="0" maxLength="100" gradient="0">
              <x14:cfvo type="num">
                <xm:f>0</xm:f>
              </x14:cfvo>
              <x14:cfvo type="num">
                <xm:f>1</xm:f>
              </x14:cfvo>
              <x14:negativeFillColor rgb="FFFF0000"/>
              <x14:axisColor rgb="FF000000"/>
            </x14:dataBar>
          </x14:cfRule>
          <xm:sqref>I57</xm:sqref>
        </x14:conditionalFormatting>
        <x14:conditionalFormatting xmlns:xm="http://schemas.microsoft.com/office/excel/2006/main">
          <x14:cfRule type="dataBar" id="{DD6F9B9A-D49A-4848-8C1C-310E0E6F6F2D}">
            <x14:dataBar minLength="0" maxLength="100">
              <x14:cfvo type="num">
                <xm:f>0</xm:f>
              </x14:cfvo>
              <x14:cfvo type="num">
                <xm:f>$I$58</xm:f>
              </x14:cfvo>
              <x14:negativeFillColor rgb="FFFF0000"/>
              <x14:axisColor rgb="FF000000"/>
            </x14:dataBar>
          </x14:cfRule>
          <xm:sqref>I59</xm:sqref>
        </x14:conditionalFormatting>
        <x14:conditionalFormatting xmlns:xm="http://schemas.microsoft.com/office/excel/2006/main">
          <x14:cfRule type="dataBar" id="{668B877C-0AD1-43BE-AD1B-93E3378B36E8}">
            <x14:dataBar minLength="0" maxLength="100" direction="rightToLeft">
              <x14:cfvo type="num">
                <xm:f>0</xm:f>
              </x14:cfvo>
              <x14:cfvo type="num">
                <xm:f>$I$58</xm:f>
              </x14:cfvo>
              <x14:negativeFillColor rgb="FFFF0000"/>
              <x14:axisColor rgb="FF000000"/>
            </x14:dataBar>
          </x14:cfRule>
          <xm:sqref>I60</xm:sqref>
        </x14:conditionalFormatting>
        <x14:conditionalFormatting xmlns:xm="http://schemas.microsoft.com/office/excel/2006/main">
          <x14:cfRule type="dataBar" id="{4FCF4651-3CC9-4B15-BFAE-B526D20206EA}">
            <x14:dataBar minLength="0" maxLength="100" direction="rightToLeft">
              <x14:cfvo type="num">
                <xm:f>0</xm:f>
              </x14:cfvo>
              <x14:cfvo type="num">
                <xm:f>$I$58</xm:f>
              </x14:cfvo>
              <x14:negativeFillColor rgb="FFFF0000"/>
              <x14:axisColor rgb="FF000000"/>
            </x14:dataBar>
          </x14:cfRule>
          <xm:sqref>H81:H82 H78</xm:sqref>
        </x14:conditionalFormatting>
        <x14:conditionalFormatting xmlns:xm="http://schemas.microsoft.com/office/excel/2006/main">
          <x14:cfRule type="dataBar" id="{9340963F-2ACE-494C-A10E-43877839A08B}">
            <x14:dataBar minLength="0" maxLength="100">
              <x14:cfvo type="num">
                <xm:f>0</xm:f>
              </x14:cfvo>
              <x14:cfvo type="num">
                <xm:f>$I$58</xm:f>
              </x14:cfvo>
              <x14:negativeFillColor rgb="FFFF0000"/>
              <x14:axisColor rgb="FF000000"/>
            </x14:dataBar>
          </x14:cfRule>
          <xm:sqref>I81:I82 I78</xm:sqref>
        </x14:conditionalFormatting>
        <x14:conditionalFormatting xmlns:xm="http://schemas.microsoft.com/office/excel/2006/main">
          <x14:cfRule type="dataBar" id="{CF6076B2-793C-4C30-B08E-5EDD7C3BCE2B}">
            <x14:dataBar minLength="0" maxLength="100" direction="rightToLeft">
              <x14:cfvo type="num">
                <xm:f>0</xm:f>
              </x14:cfvo>
              <x14:cfvo type="num">
                <xm:f>$I$58</xm:f>
              </x14:cfvo>
              <x14:negativeFillColor rgb="FFFF0000"/>
              <x14:axisColor rgb="FF000000"/>
            </x14:dataBar>
          </x14:cfRule>
          <xm:sqref>H75</xm:sqref>
        </x14:conditionalFormatting>
        <x14:conditionalFormatting xmlns:xm="http://schemas.microsoft.com/office/excel/2006/main">
          <x14:cfRule type="dataBar" id="{CE026813-AF53-4E91-BA61-94F386E04DF2}">
            <x14:dataBar minLength="0" maxLength="100">
              <x14:cfvo type="num">
                <xm:f>0</xm:f>
              </x14:cfvo>
              <x14:cfvo type="num">
                <xm:f>$I$58</xm:f>
              </x14:cfvo>
              <x14:negativeFillColor rgb="FFFF0000"/>
              <x14:axisColor rgb="FF000000"/>
            </x14:dataBar>
          </x14:cfRule>
          <xm:sqref>I75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8121C-8B02-4590-AA05-42D67331B416}">
  <sheetPr codeName="Blad10"/>
  <dimension ref="A1:N388"/>
  <sheetViews>
    <sheetView workbookViewId="0">
      <selection activeCell="A16" sqref="A16:I16"/>
    </sheetView>
  </sheetViews>
  <sheetFormatPr defaultRowHeight="12.75"/>
  <cols>
    <col min="1" max="9" width="9.140625" style="29"/>
  </cols>
  <sheetData>
    <row r="1" spans="1:14">
      <c r="A1"/>
      <c r="B1"/>
      <c r="C1"/>
      <c r="D1"/>
      <c r="E1"/>
      <c r="F1"/>
      <c r="G1"/>
      <c r="H1"/>
      <c r="I1"/>
    </row>
    <row r="2" spans="1:14" ht="33.75" customHeight="1">
      <c r="A2"/>
      <c r="B2"/>
      <c r="C2"/>
      <c r="D2"/>
      <c r="E2"/>
      <c r="F2" s="113" t="s">
        <v>228</v>
      </c>
      <c r="G2" s="113"/>
      <c r="H2" s="113"/>
      <c r="I2" s="113"/>
      <c r="J2" s="60"/>
      <c r="K2" s="60"/>
      <c r="L2" s="60"/>
      <c r="M2" s="60"/>
      <c r="N2" s="60"/>
    </row>
    <row r="3" spans="1:14" ht="12.75" customHeight="1">
      <c r="A3"/>
      <c r="B3"/>
      <c r="C3"/>
      <c r="D3"/>
      <c r="E3" s="51"/>
      <c r="F3" s="113"/>
      <c r="G3" s="113"/>
      <c r="H3" s="113"/>
      <c r="I3" s="113"/>
      <c r="K3" s="48" t="s">
        <v>221</v>
      </c>
    </row>
    <row r="4" spans="1:14" ht="12.75" customHeight="1">
      <c r="A4"/>
      <c r="B4"/>
      <c r="C4"/>
      <c r="D4"/>
      <c r="E4" s="51"/>
      <c r="F4" s="113"/>
      <c r="G4" s="113"/>
      <c r="H4" s="113"/>
      <c r="I4" s="113"/>
    </row>
    <row r="5" spans="1:14" ht="12.75" customHeight="1">
      <c r="A5"/>
      <c r="B5"/>
      <c r="C5"/>
      <c r="D5"/>
      <c r="E5" s="51"/>
      <c r="F5" s="113"/>
      <c r="G5" s="113"/>
      <c r="H5" s="113"/>
      <c r="I5" s="113"/>
    </row>
    <row r="6" spans="1:14">
      <c r="A6"/>
      <c r="B6"/>
      <c r="C6"/>
      <c r="D6"/>
      <c r="E6"/>
      <c r="F6"/>
      <c r="G6"/>
      <c r="H6"/>
      <c r="I6"/>
    </row>
    <row r="7" spans="1:14">
      <c r="A7"/>
      <c r="B7"/>
      <c r="C7"/>
      <c r="D7"/>
      <c r="E7"/>
      <c r="F7"/>
      <c r="G7"/>
      <c r="H7"/>
      <c r="I7"/>
    </row>
    <row r="8" spans="1:14">
      <c r="A8"/>
      <c r="B8"/>
      <c r="C8"/>
      <c r="D8"/>
      <c r="E8"/>
      <c r="F8"/>
      <c r="G8"/>
      <c r="H8"/>
      <c r="I8"/>
    </row>
    <row r="9" spans="1:14">
      <c r="A9"/>
      <c r="B9"/>
      <c r="C9"/>
      <c r="D9"/>
      <c r="E9"/>
      <c r="F9"/>
      <c r="G9"/>
      <c r="H9"/>
      <c r="I9"/>
    </row>
    <row r="10" spans="1:14">
      <c r="A10"/>
      <c r="B10"/>
      <c r="C10"/>
      <c r="D10"/>
      <c r="E10"/>
      <c r="F10"/>
      <c r="G10"/>
      <c r="H10"/>
      <c r="I10"/>
    </row>
    <row r="11" spans="1:14">
      <c r="A11"/>
      <c r="B11"/>
      <c r="C11"/>
      <c r="D11"/>
      <c r="E11"/>
      <c r="F11"/>
      <c r="G11"/>
      <c r="H11"/>
      <c r="I11"/>
    </row>
    <row r="12" spans="1:14">
      <c r="A12"/>
      <c r="B12"/>
      <c r="C12"/>
      <c r="D12"/>
      <c r="E12"/>
      <c r="F12"/>
      <c r="G12"/>
      <c r="H12"/>
      <c r="I12"/>
    </row>
    <row r="13" spans="1:14">
      <c r="A13"/>
      <c r="B13"/>
      <c r="C13"/>
      <c r="D13"/>
      <c r="E13"/>
      <c r="F13"/>
      <c r="G13"/>
      <c r="H13"/>
      <c r="I13"/>
    </row>
    <row r="14" spans="1:14">
      <c r="A14"/>
      <c r="B14"/>
      <c r="C14"/>
      <c r="D14"/>
      <c r="E14"/>
      <c r="F14"/>
      <c r="G14"/>
      <c r="H14"/>
      <c r="I14"/>
    </row>
    <row r="15" spans="1:14">
      <c r="A15"/>
      <c r="B15"/>
      <c r="C15"/>
      <c r="D15"/>
      <c r="E15"/>
      <c r="F15"/>
      <c r="G15"/>
      <c r="H15"/>
      <c r="I15"/>
    </row>
    <row r="16" spans="1:14">
      <c r="A16" s="114"/>
      <c r="B16" s="114"/>
      <c r="C16" s="114"/>
      <c r="D16" s="114"/>
      <c r="E16" s="114"/>
      <c r="F16" s="114"/>
      <c r="G16" s="114"/>
      <c r="H16" s="114"/>
      <c r="I16" s="114"/>
    </row>
    <row r="17" spans="1:9">
      <c r="A17" s="114"/>
      <c r="B17" s="114"/>
      <c r="C17" s="114"/>
      <c r="D17" s="114"/>
      <c r="E17" s="114"/>
      <c r="F17" s="114"/>
      <c r="G17" s="114"/>
      <c r="H17" s="114"/>
      <c r="I17" s="114"/>
    </row>
    <row r="18" spans="1:9">
      <c r="A18" s="114"/>
      <c r="B18" s="114"/>
      <c r="C18" s="114"/>
      <c r="D18" s="114"/>
      <c r="E18" s="114"/>
      <c r="F18" s="114"/>
      <c r="G18" s="114"/>
      <c r="H18" s="114"/>
      <c r="I18" s="114"/>
    </row>
    <row r="19" spans="1:9">
      <c r="A19" s="114"/>
      <c r="B19" s="114"/>
      <c r="C19" s="114"/>
      <c r="D19" s="114"/>
      <c r="E19" s="114"/>
      <c r="F19" s="114"/>
      <c r="G19" s="114"/>
      <c r="H19" s="114"/>
      <c r="I19" s="114"/>
    </row>
    <row r="20" spans="1:9">
      <c r="A20" s="114"/>
      <c r="B20" s="114"/>
      <c r="C20" s="114"/>
      <c r="D20" s="114"/>
      <c r="E20" s="114"/>
      <c r="F20" s="114"/>
      <c r="G20" s="114"/>
      <c r="H20" s="114"/>
      <c r="I20" s="114"/>
    </row>
    <row r="21" spans="1:9">
      <c r="A21" s="114"/>
      <c r="B21" s="114"/>
      <c r="C21" s="114"/>
      <c r="D21" s="114"/>
      <c r="E21" s="114"/>
      <c r="F21" s="114"/>
      <c r="G21" s="114"/>
      <c r="H21" s="114"/>
      <c r="I21" s="114"/>
    </row>
    <row r="22" spans="1:9">
      <c r="A22" s="114"/>
      <c r="B22" s="114"/>
      <c r="C22" s="114"/>
      <c r="D22" s="114"/>
      <c r="E22" s="114"/>
      <c r="F22" s="114"/>
      <c r="G22" s="114"/>
      <c r="H22" s="114"/>
      <c r="I22" s="114"/>
    </row>
    <row r="23" spans="1:9">
      <c r="A23" s="114"/>
      <c r="B23" s="114"/>
      <c r="C23" s="114"/>
      <c r="D23" s="114"/>
      <c r="E23" s="114"/>
      <c r="F23" s="114"/>
      <c r="G23" s="114"/>
      <c r="H23" s="114"/>
      <c r="I23" s="114"/>
    </row>
    <row r="24" spans="1:9">
      <c r="A24" s="114"/>
      <c r="B24" s="114"/>
      <c r="C24" s="114"/>
      <c r="D24" s="114"/>
      <c r="E24" s="114"/>
      <c r="F24" s="114"/>
      <c r="G24" s="114"/>
      <c r="H24" s="114"/>
      <c r="I24" s="114"/>
    </row>
    <row r="25" spans="1:9">
      <c r="A25" s="114"/>
      <c r="B25" s="114"/>
      <c r="C25" s="114"/>
      <c r="D25" s="114"/>
      <c r="E25" s="114"/>
      <c r="F25" s="114"/>
      <c r="G25" s="114"/>
      <c r="H25" s="114"/>
      <c r="I25" s="114"/>
    </row>
    <row r="26" spans="1:9">
      <c r="A26" s="114"/>
      <c r="B26" s="114"/>
      <c r="C26" s="114"/>
      <c r="D26" s="114"/>
      <c r="E26" s="114"/>
      <c r="F26" s="114"/>
      <c r="G26" s="114"/>
      <c r="H26" s="114"/>
      <c r="I26" s="114"/>
    </row>
    <row r="27" spans="1:9">
      <c r="A27" s="114"/>
      <c r="B27" s="114"/>
      <c r="C27" s="114"/>
      <c r="D27" s="114"/>
      <c r="E27" s="114"/>
      <c r="F27" s="114"/>
      <c r="G27" s="114"/>
      <c r="H27" s="114"/>
      <c r="I27" s="114"/>
    </row>
    <row r="28" spans="1:9">
      <c r="A28" s="114"/>
      <c r="B28" s="114"/>
      <c r="C28" s="114"/>
      <c r="D28" s="114"/>
      <c r="E28" s="114"/>
      <c r="F28" s="114"/>
      <c r="G28" s="114"/>
      <c r="H28" s="114"/>
      <c r="I28" s="114"/>
    </row>
    <row r="29" spans="1:9">
      <c r="A29" s="114"/>
      <c r="B29" s="114"/>
      <c r="C29" s="114"/>
      <c r="D29" s="114"/>
      <c r="E29" s="114"/>
      <c r="F29" s="114"/>
      <c r="G29" s="114"/>
      <c r="H29" s="114"/>
      <c r="I29" s="114"/>
    </row>
    <row r="30" spans="1:9">
      <c r="A30" s="114"/>
      <c r="B30" s="114"/>
      <c r="C30" s="114"/>
      <c r="D30" s="114"/>
      <c r="E30" s="114"/>
      <c r="F30" s="114"/>
      <c r="G30" s="114"/>
      <c r="H30" s="114"/>
      <c r="I30" s="114"/>
    </row>
    <row r="31" spans="1:9">
      <c r="A31" s="114"/>
      <c r="B31" s="114"/>
      <c r="C31" s="114"/>
      <c r="D31" s="114"/>
      <c r="E31" s="114"/>
      <c r="F31" s="114"/>
      <c r="G31" s="114"/>
      <c r="H31" s="114"/>
      <c r="I31" s="114"/>
    </row>
    <row r="32" spans="1:9">
      <c r="A32" s="114"/>
      <c r="B32" s="114"/>
      <c r="C32" s="114"/>
      <c r="D32" s="114"/>
      <c r="E32" s="114"/>
      <c r="F32" s="114"/>
      <c r="G32" s="114"/>
      <c r="H32" s="114"/>
      <c r="I32" s="114"/>
    </row>
    <row r="33" spans="1:9">
      <c r="A33" s="114"/>
      <c r="B33" s="114"/>
      <c r="C33" s="114"/>
      <c r="D33" s="114"/>
      <c r="E33" s="114"/>
      <c r="F33" s="114"/>
      <c r="G33" s="114"/>
      <c r="H33" s="114"/>
      <c r="I33" s="114"/>
    </row>
    <row r="34" spans="1:9">
      <c r="A34" s="114"/>
      <c r="B34" s="114"/>
      <c r="C34" s="114"/>
      <c r="D34" s="114"/>
      <c r="E34" s="114"/>
      <c r="F34" s="114"/>
      <c r="G34" s="114"/>
      <c r="H34" s="114"/>
      <c r="I34" s="114"/>
    </row>
    <row r="35" spans="1:9">
      <c r="A35" s="114"/>
      <c r="B35" s="114"/>
      <c r="C35" s="114"/>
      <c r="D35" s="114"/>
      <c r="E35" s="114"/>
      <c r="F35" s="114"/>
      <c r="G35" s="114"/>
      <c r="H35" s="114"/>
      <c r="I35" s="114"/>
    </row>
    <row r="36" spans="1:9">
      <c r="A36" s="114"/>
      <c r="B36" s="114"/>
      <c r="C36" s="114"/>
      <c r="D36" s="114"/>
      <c r="E36" s="114"/>
      <c r="F36" s="114"/>
      <c r="G36" s="114"/>
      <c r="H36" s="114"/>
      <c r="I36" s="114"/>
    </row>
    <row r="37" spans="1:9">
      <c r="A37" s="114"/>
      <c r="B37" s="114"/>
      <c r="C37" s="114"/>
      <c r="D37" s="114"/>
      <c r="E37" s="114"/>
      <c r="F37" s="114"/>
      <c r="G37" s="114"/>
      <c r="H37" s="114"/>
      <c r="I37" s="114"/>
    </row>
    <row r="38" spans="1:9">
      <c r="A38" s="114"/>
      <c r="B38" s="114"/>
      <c r="C38" s="114"/>
      <c r="D38" s="114"/>
      <c r="E38" s="114"/>
      <c r="F38" s="114"/>
      <c r="G38" s="114"/>
      <c r="H38" s="114"/>
      <c r="I38" s="114"/>
    </row>
    <row r="39" spans="1:9">
      <c r="A39" s="114"/>
      <c r="B39" s="114"/>
      <c r="C39" s="114"/>
      <c r="D39" s="114"/>
      <c r="E39" s="114"/>
      <c r="F39" s="114"/>
      <c r="G39" s="114"/>
      <c r="H39" s="114"/>
      <c r="I39" s="114"/>
    </row>
    <row r="40" spans="1:9">
      <c r="A40" s="114"/>
      <c r="B40" s="114"/>
      <c r="C40" s="114"/>
      <c r="D40" s="114"/>
      <c r="E40" s="114"/>
      <c r="F40" s="114"/>
      <c r="G40" s="114"/>
      <c r="H40" s="114"/>
      <c r="I40" s="114"/>
    </row>
    <row r="41" spans="1:9">
      <c r="A41" s="114"/>
      <c r="B41" s="114"/>
      <c r="C41" s="114"/>
      <c r="D41" s="114"/>
      <c r="E41" s="114"/>
      <c r="F41" s="114"/>
      <c r="G41" s="114"/>
      <c r="H41" s="114"/>
      <c r="I41" s="114"/>
    </row>
    <row r="42" spans="1:9">
      <c r="A42" s="114"/>
      <c r="B42" s="114"/>
      <c r="C42" s="114"/>
      <c r="D42" s="114"/>
      <c r="E42" s="114"/>
      <c r="F42" s="114"/>
      <c r="G42" s="114"/>
      <c r="H42" s="114"/>
      <c r="I42" s="114"/>
    </row>
    <row r="43" spans="1:9">
      <c r="A43" s="114"/>
      <c r="B43" s="114"/>
      <c r="C43" s="114"/>
      <c r="D43" s="114"/>
      <c r="E43" s="114"/>
      <c r="F43" s="114"/>
      <c r="G43" s="114"/>
      <c r="H43" s="114"/>
      <c r="I43" s="114"/>
    </row>
    <row r="44" spans="1:9">
      <c r="A44" s="114"/>
      <c r="B44" s="114"/>
      <c r="C44" s="114"/>
      <c r="D44" s="114"/>
      <c r="E44" s="114"/>
      <c r="F44" s="114"/>
      <c r="G44" s="114"/>
      <c r="H44" s="114"/>
      <c r="I44" s="114"/>
    </row>
    <row r="45" spans="1:9">
      <c r="A45" s="114"/>
      <c r="B45" s="114"/>
      <c r="C45" s="114"/>
      <c r="D45" s="114"/>
      <c r="E45" s="114"/>
      <c r="F45" s="114"/>
      <c r="G45" s="114"/>
      <c r="H45" s="114"/>
      <c r="I45" s="114"/>
    </row>
    <row r="46" spans="1:9">
      <c r="A46" s="114"/>
      <c r="B46" s="114"/>
      <c r="C46" s="114"/>
      <c r="D46" s="114"/>
      <c r="E46" s="114"/>
      <c r="F46" s="114"/>
      <c r="G46" s="114"/>
      <c r="H46" s="114"/>
      <c r="I46" s="114"/>
    </row>
    <row r="47" spans="1:9">
      <c r="A47" s="114"/>
      <c r="B47" s="114"/>
      <c r="C47" s="114"/>
      <c r="D47" s="114"/>
      <c r="E47" s="114"/>
      <c r="F47" s="114"/>
      <c r="G47" s="114"/>
      <c r="H47" s="114"/>
      <c r="I47" s="114"/>
    </row>
    <row r="48" spans="1:9">
      <c r="A48" s="114"/>
      <c r="B48" s="114"/>
      <c r="C48" s="114"/>
      <c r="D48" s="114"/>
      <c r="E48" s="114"/>
      <c r="F48" s="114"/>
      <c r="G48" s="114"/>
      <c r="H48" s="114"/>
      <c r="I48" s="114"/>
    </row>
    <row r="49" spans="1:9">
      <c r="A49" s="114"/>
      <c r="B49" s="114"/>
      <c r="C49" s="114"/>
      <c r="D49" s="114"/>
      <c r="E49" s="114"/>
      <c r="F49" s="114"/>
      <c r="G49" s="114"/>
      <c r="H49" s="114"/>
      <c r="I49" s="114"/>
    </row>
    <row r="50" spans="1:9">
      <c r="A50" s="114"/>
      <c r="B50" s="114"/>
      <c r="C50" s="114"/>
      <c r="D50" s="114"/>
      <c r="E50" s="114"/>
      <c r="F50" s="114"/>
      <c r="G50" s="114"/>
      <c r="H50" s="114"/>
      <c r="I50" s="114"/>
    </row>
    <row r="51" spans="1:9">
      <c r="A51" s="114"/>
      <c r="B51" s="114"/>
      <c r="C51" s="114"/>
      <c r="D51" s="114"/>
      <c r="E51" s="114"/>
      <c r="F51" s="114"/>
      <c r="G51" s="114"/>
      <c r="H51" s="114"/>
      <c r="I51" s="114"/>
    </row>
    <row r="52" spans="1:9">
      <c r="A52" s="114"/>
      <c r="B52" s="114"/>
      <c r="C52" s="114"/>
      <c r="D52" s="114"/>
      <c r="E52" s="114"/>
      <c r="F52" s="114"/>
      <c r="G52" s="114"/>
      <c r="H52" s="114"/>
      <c r="I52" s="114"/>
    </row>
    <row r="53" spans="1:9">
      <c r="A53" s="114"/>
      <c r="B53" s="114"/>
      <c r="C53" s="114"/>
      <c r="D53" s="114"/>
      <c r="E53" s="114"/>
      <c r="F53" s="114"/>
      <c r="G53" s="114"/>
      <c r="H53" s="114"/>
      <c r="I53" s="114"/>
    </row>
    <row r="54" spans="1:9">
      <c r="A54" s="114"/>
      <c r="B54" s="114"/>
      <c r="C54" s="114"/>
      <c r="D54" s="114"/>
      <c r="E54" s="114"/>
      <c r="F54" s="114"/>
      <c r="G54" s="114"/>
      <c r="H54" s="114"/>
      <c r="I54" s="114"/>
    </row>
    <row r="55" spans="1:9">
      <c r="A55" s="114"/>
      <c r="B55" s="114"/>
      <c r="C55" s="114"/>
      <c r="D55" s="114"/>
      <c r="E55" s="114"/>
      <c r="F55" s="114"/>
      <c r="G55" s="114"/>
      <c r="H55" s="114"/>
      <c r="I55" s="114"/>
    </row>
    <row r="56" spans="1:9">
      <c r="A56" s="114"/>
      <c r="B56" s="114"/>
      <c r="C56" s="114"/>
      <c r="D56" s="114"/>
      <c r="E56" s="114"/>
      <c r="F56" s="114"/>
      <c r="G56" s="114"/>
      <c r="H56" s="114"/>
      <c r="I56" s="114"/>
    </row>
    <row r="57" spans="1:9">
      <c r="A57" s="114"/>
      <c r="B57" s="114"/>
      <c r="C57" s="114"/>
      <c r="D57" s="114"/>
      <c r="E57" s="114"/>
      <c r="F57" s="114"/>
      <c r="G57" s="114"/>
      <c r="H57" s="114"/>
      <c r="I57" s="114"/>
    </row>
    <row r="58" spans="1:9">
      <c r="A58" s="114"/>
      <c r="B58" s="114"/>
      <c r="C58" s="114"/>
      <c r="D58" s="114"/>
      <c r="E58" s="114"/>
      <c r="F58" s="114"/>
      <c r="G58" s="114"/>
      <c r="H58" s="114"/>
      <c r="I58" s="114"/>
    </row>
    <row r="59" spans="1:9">
      <c r="A59" s="114"/>
      <c r="B59" s="114"/>
      <c r="C59" s="114"/>
      <c r="D59" s="114"/>
      <c r="E59" s="114"/>
      <c r="F59" s="114"/>
      <c r="G59" s="114"/>
      <c r="H59" s="114"/>
      <c r="I59" s="114"/>
    </row>
    <row r="60" spans="1:9">
      <c r="A60" s="114"/>
      <c r="B60" s="114"/>
      <c r="C60" s="114"/>
      <c r="D60" s="114"/>
      <c r="E60" s="114"/>
      <c r="F60" s="114"/>
      <c r="G60" s="114"/>
      <c r="H60" s="114"/>
      <c r="I60" s="114"/>
    </row>
    <row r="61" spans="1:9">
      <c r="A61" s="114"/>
      <c r="B61" s="114"/>
      <c r="C61" s="114"/>
      <c r="D61" s="114"/>
      <c r="E61" s="114"/>
      <c r="F61" s="114"/>
      <c r="G61" s="114"/>
      <c r="H61" s="114"/>
      <c r="I61" s="114"/>
    </row>
    <row r="62" spans="1:9">
      <c r="A62" s="114"/>
      <c r="B62" s="114"/>
      <c r="C62" s="114"/>
      <c r="D62" s="114"/>
      <c r="E62" s="114"/>
      <c r="F62" s="114"/>
      <c r="G62" s="114"/>
      <c r="H62" s="114"/>
      <c r="I62" s="114"/>
    </row>
    <row r="63" spans="1:9">
      <c r="A63" s="114"/>
      <c r="B63" s="114"/>
      <c r="C63" s="114"/>
      <c r="D63" s="114"/>
      <c r="E63" s="114"/>
      <c r="F63" s="114"/>
      <c r="G63" s="114"/>
      <c r="H63" s="114"/>
      <c r="I63" s="114"/>
    </row>
    <row r="64" spans="1:9">
      <c r="A64" s="114"/>
      <c r="B64" s="114"/>
      <c r="C64" s="114"/>
      <c r="D64" s="114"/>
      <c r="E64" s="114"/>
      <c r="F64" s="114"/>
      <c r="G64" s="114"/>
      <c r="H64" s="114"/>
      <c r="I64" s="114"/>
    </row>
    <row r="65" spans="1:9">
      <c r="A65" s="114"/>
      <c r="B65" s="114"/>
      <c r="C65" s="114"/>
      <c r="D65" s="114"/>
      <c r="E65" s="114"/>
      <c r="F65" s="114"/>
      <c r="G65" s="114"/>
      <c r="H65" s="114"/>
      <c r="I65" s="114"/>
    </row>
    <row r="66" spans="1:9">
      <c r="A66" s="114"/>
      <c r="B66" s="114"/>
      <c r="C66" s="114"/>
      <c r="D66" s="114"/>
      <c r="E66" s="114"/>
      <c r="F66" s="114"/>
      <c r="G66" s="114"/>
      <c r="H66" s="114"/>
      <c r="I66" s="114"/>
    </row>
    <row r="67" spans="1:9">
      <c r="A67" s="114"/>
      <c r="B67" s="114"/>
      <c r="C67" s="114"/>
      <c r="D67" s="114"/>
      <c r="E67" s="114"/>
      <c r="F67" s="114"/>
      <c r="G67" s="114"/>
      <c r="H67" s="114"/>
      <c r="I67" s="114"/>
    </row>
    <row r="68" spans="1:9">
      <c r="A68" s="114"/>
      <c r="B68" s="114"/>
      <c r="C68" s="114"/>
      <c r="D68" s="114"/>
      <c r="E68" s="114"/>
      <c r="F68" s="114"/>
      <c r="G68" s="114"/>
      <c r="H68" s="114"/>
      <c r="I68" s="114"/>
    </row>
    <row r="69" spans="1:9">
      <c r="A69" s="114"/>
      <c r="B69" s="114"/>
      <c r="C69" s="114"/>
      <c r="D69" s="114"/>
      <c r="E69" s="114"/>
      <c r="F69" s="114"/>
      <c r="G69" s="114"/>
      <c r="H69" s="114"/>
      <c r="I69" s="114"/>
    </row>
    <row r="70" spans="1:9">
      <c r="A70" s="114"/>
      <c r="B70" s="114"/>
      <c r="C70" s="114"/>
      <c r="D70" s="114"/>
      <c r="E70" s="114"/>
      <c r="F70" s="114"/>
      <c r="G70" s="114"/>
      <c r="H70" s="114"/>
      <c r="I70" s="114"/>
    </row>
    <row r="71" spans="1:9">
      <c r="A71" s="114"/>
      <c r="B71" s="114"/>
      <c r="C71" s="114"/>
      <c r="D71" s="114"/>
      <c r="E71" s="114"/>
      <c r="F71" s="114"/>
      <c r="G71" s="114"/>
      <c r="H71" s="114"/>
      <c r="I71" s="114"/>
    </row>
    <row r="72" spans="1:9">
      <c r="A72" s="114"/>
      <c r="B72" s="114"/>
      <c r="C72" s="114"/>
      <c r="D72" s="114"/>
      <c r="E72" s="114"/>
      <c r="F72" s="114"/>
      <c r="G72" s="114"/>
      <c r="H72" s="114"/>
      <c r="I72" s="114"/>
    </row>
    <row r="73" spans="1:9">
      <c r="A73" s="114"/>
      <c r="B73" s="114"/>
      <c r="C73" s="114"/>
      <c r="D73" s="114"/>
      <c r="E73" s="114"/>
      <c r="F73" s="114"/>
      <c r="G73" s="114"/>
      <c r="H73" s="114"/>
      <c r="I73" s="114"/>
    </row>
    <row r="74" spans="1:9">
      <c r="A74" s="114"/>
      <c r="B74" s="114"/>
      <c r="C74" s="114"/>
      <c r="D74" s="114"/>
      <c r="E74" s="114"/>
      <c r="F74" s="114"/>
      <c r="G74" s="114"/>
      <c r="H74" s="114"/>
      <c r="I74" s="114"/>
    </row>
    <row r="75" spans="1:9">
      <c r="A75" s="114"/>
      <c r="B75" s="114"/>
      <c r="C75" s="114"/>
      <c r="D75" s="114"/>
      <c r="E75" s="114"/>
      <c r="F75" s="114"/>
      <c r="G75" s="114"/>
      <c r="H75" s="114"/>
      <c r="I75" s="114"/>
    </row>
    <row r="76" spans="1:9">
      <c r="A76" s="114"/>
      <c r="B76" s="114"/>
      <c r="C76" s="114"/>
      <c r="D76" s="114"/>
      <c r="E76" s="114"/>
      <c r="F76" s="114"/>
      <c r="G76" s="114"/>
      <c r="H76" s="114"/>
      <c r="I76" s="114"/>
    </row>
    <row r="77" spans="1:9">
      <c r="A77" s="114"/>
      <c r="B77" s="114"/>
      <c r="C77" s="114"/>
      <c r="D77" s="114"/>
      <c r="E77" s="114"/>
      <c r="F77" s="114"/>
      <c r="G77" s="114"/>
      <c r="H77" s="114"/>
      <c r="I77" s="114"/>
    </row>
    <row r="78" spans="1:9">
      <c r="A78" s="114"/>
      <c r="B78" s="114"/>
      <c r="C78" s="114"/>
      <c r="D78" s="114"/>
      <c r="E78" s="114"/>
      <c r="F78" s="114"/>
      <c r="G78" s="114"/>
      <c r="H78" s="114"/>
      <c r="I78" s="114"/>
    </row>
    <row r="79" spans="1:9">
      <c r="A79" s="114"/>
      <c r="B79" s="114"/>
      <c r="C79" s="114"/>
      <c r="D79" s="114"/>
      <c r="E79" s="114"/>
      <c r="F79" s="114"/>
      <c r="G79" s="114"/>
      <c r="H79" s="114"/>
      <c r="I79" s="114"/>
    </row>
    <row r="80" spans="1:9">
      <c r="A80" s="114"/>
      <c r="B80" s="114"/>
      <c r="C80" s="114"/>
      <c r="D80" s="114"/>
      <c r="E80" s="114"/>
      <c r="F80" s="114"/>
      <c r="G80" s="114"/>
      <c r="H80" s="114"/>
      <c r="I80" s="114"/>
    </row>
    <row r="81" spans="1:9">
      <c r="A81" s="114"/>
      <c r="B81" s="114"/>
      <c r="C81" s="114"/>
      <c r="D81" s="114"/>
      <c r="E81" s="114"/>
      <c r="F81" s="114"/>
      <c r="G81" s="114"/>
      <c r="H81" s="114"/>
      <c r="I81" s="114"/>
    </row>
    <row r="82" spans="1:9">
      <c r="A82" s="114"/>
      <c r="B82" s="114"/>
      <c r="C82" s="114"/>
      <c r="D82" s="114"/>
      <c r="E82" s="114"/>
      <c r="F82" s="114"/>
      <c r="G82" s="114"/>
      <c r="H82" s="114"/>
      <c r="I82" s="114"/>
    </row>
    <row r="83" spans="1:9">
      <c r="A83" s="114"/>
      <c r="B83" s="114"/>
      <c r="C83" s="114"/>
      <c r="D83" s="114"/>
      <c r="E83" s="114"/>
      <c r="F83" s="114"/>
      <c r="G83" s="114"/>
      <c r="H83" s="114"/>
      <c r="I83" s="114"/>
    </row>
    <row r="84" spans="1:9">
      <c r="A84" s="114"/>
      <c r="B84" s="114"/>
      <c r="C84" s="114"/>
      <c r="D84" s="114"/>
      <c r="E84" s="114"/>
      <c r="F84" s="114"/>
      <c r="G84" s="114"/>
      <c r="H84" s="114"/>
      <c r="I84" s="114"/>
    </row>
    <row r="85" spans="1:9">
      <c r="A85" s="114"/>
      <c r="B85" s="114"/>
      <c r="C85" s="114"/>
      <c r="D85" s="114"/>
      <c r="E85" s="114"/>
      <c r="F85" s="114"/>
      <c r="G85" s="114"/>
      <c r="H85" s="114"/>
      <c r="I85" s="114"/>
    </row>
    <row r="86" spans="1:9">
      <c r="A86" s="114"/>
      <c r="B86" s="114"/>
      <c r="C86" s="114"/>
      <c r="D86" s="114"/>
      <c r="E86" s="114"/>
      <c r="F86" s="114"/>
      <c r="G86" s="114"/>
      <c r="H86" s="114"/>
      <c r="I86" s="114"/>
    </row>
    <row r="87" spans="1:9">
      <c r="A87" s="114"/>
      <c r="B87" s="114"/>
      <c r="C87" s="114"/>
      <c r="D87" s="114"/>
      <c r="E87" s="114"/>
      <c r="F87" s="114"/>
      <c r="G87" s="114"/>
      <c r="H87" s="114"/>
      <c r="I87" s="114"/>
    </row>
    <row r="88" spans="1:9">
      <c r="A88" s="114"/>
      <c r="B88" s="114"/>
      <c r="C88" s="114"/>
      <c r="D88" s="114"/>
      <c r="E88" s="114"/>
      <c r="F88" s="114"/>
      <c r="G88" s="114"/>
      <c r="H88" s="114"/>
      <c r="I88" s="114"/>
    </row>
    <row r="89" spans="1:9">
      <c r="A89" s="114"/>
      <c r="B89" s="114"/>
      <c r="C89" s="114"/>
      <c r="D89" s="114"/>
      <c r="E89" s="114"/>
      <c r="F89" s="114"/>
      <c r="G89" s="114"/>
      <c r="H89" s="114"/>
      <c r="I89" s="114"/>
    </row>
    <row r="90" spans="1:9">
      <c r="A90" s="114"/>
      <c r="B90" s="114"/>
      <c r="C90" s="114"/>
      <c r="D90" s="114"/>
      <c r="E90" s="114"/>
      <c r="F90" s="114"/>
      <c r="G90" s="114"/>
      <c r="H90" s="114"/>
      <c r="I90" s="114"/>
    </row>
    <row r="91" spans="1:9">
      <c r="A91" s="114"/>
      <c r="B91" s="114"/>
      <c r="C91" s="114"/>
      <c r="D91" s="114"/>
      <c r="E91" s="114"/>
      <c r="F91" s="114"/>
      <c r="G91" s="114"/>
      <c r="H91" s="114"/>
      <c r="I91" s="114"/>
    </row>
    <row r="92" spans="1:9">
      <c r="A92" s="114"/>
      <c r="B92" s="114"/>
      <c r="C92" s="114"/>
      <c r="D92" s="114"/>
      <c r="E92" s="114"/>
      <c r="F92" s="114"/>
      <c r="G92" s="114"/>
      <c r="H92" s="114"/>
      <c r="I92" s="114"/>
    </row>
    <row r="93" spans="1:9">
      <c r="A93" s="114"/>
      <c r="B93" s="114"/>
      <c r="C93" s="114"/>
      <c r="D93" s="114"/>
      <c r="E93" s="114"/>
      <c r="F93" s="114"/>
      <c r="G93" s="114"/>
      <c r="H93" s="114"/>
      <c r="I93" s="114"/>
    </row>
    <row r="94" spans="1:9">
      <c r="A94" s="114"/>
      <c r="B94" s="114"/>
      <c r="C94" s="114"/>
      <c r="D94" s="114"/>
      <c r="E94" s="114"/>
      <c r="F94" s="114"/>
      <c r="G94" s="114"/>
      <c r="H94" s="114"/>
      <c r="I94" s="114"/>
    </row>
    <row r="95" spans="1:9">
      <c r="A95" s="114"/>
      <c r="B95" s="114"/>
      <c r="C95" s="114"/>
      <c r="D95" s="114"/>
      <c r="E95" s="114"/>
      <c r="F95" s="114"/>
      <c r="G95" s="114"/>
      <c r="H95" s="114"/>
      <c r="I95" s="114"/>
    </row>
    <row r="96" spans="1:9">
      <c r="A96" s="114"/>
      <c r="B96" s="114"/>
      <c r="C96" s="114"/>
      <c r="D96" s="114"/>
      <c r="E96" s="114"/>
      <c r="F96" s="114"/>
      <c r="G96" s="114"/>
      <c r="H96" s="114"/>
      <c r="I96" s="114"/>
    </row>
    <row r="97" spans="1:9">
      <c r="A97" s="114"/>
      <c r="B97" s="114"/>
      <c r="C97" s="114"/>
      <c r="D97" s="114"/>
      <c r="E97" s="114"/>
      <c r="F97" s="114"/>
      <c r="G97" s="114"/>
      <c r="H97" s="114"/>
      <c r="I97" s="114"/>
    </row>
    <row r="98" spans="1:9">
      <c r="A98" s="114"/>
      <c r="B98" s="114"/>
      <c r="C98" s="114"/>
      <c r="D98" s="114"/>
      <c r="E98" s="114"/>
      <c r="F98" s="114"/>
      <c r="G98" s="114"/>
      <c r="H98" s="114"/>
      <c r="I98" s="114"/>
    </row>
    <row r="99" spans="1:9">
      <c r="A99" s="114"/>
      <c r="B99" s="114"/>
      <c r="C99" s="114"/>
      <c r="D99" s="114"/>
      <c r="E99" s="114"/>
      <c r="F99" s="114"/>
      <c r="G99" s="114"/>
      <c r="H99" s="114"/>
      <c r="I99" s="114"/>
    </row>
    <row r="100" spans="1:9">
      <c r="A100" s="114"/>
      <c r="B100" s="114"/>
      <c r="C100" s="114"/>
      <c r="D100" s="114"/>
      <c r="E100" s="114"/>
      <c r="F100" s="114"/>
      <c r="G100" s="114"/>
      <c r="H100" s="114"/>
      <c r="I100" s="114"/>
    </row>
    <row r="101" spans="1:9">
      <c r="A101" s="114"/>
      <c r="B101" s="114"/>
      <c r="C101" s="114"/>
      <c r="D101" s="114"/>
      <c r="E101" s="114"/>
      <c r="F101" s="114"/>
      <c r="G101" s="114"/>
      <c r="H101" s="114"/>
      <c r="I101" s="114"/>
    </row>
    <row r="102" spans="1:9">
      <c r="A102" s="114"/>
      <c r="B102" s="114"/>
      <c r="C102" s="114"/>
      <c r="D102" s="114"/>
      <c r="E102" s="114"/>
      <c r="F102" s="114"/>
      <c r="G102" s="114"/>
      <c r="H102" s="114"/>
      <c r="I102" s="114"/>
    </row>
    <row r="103" spans="1:9">
      <c r="A103" s="114"/>
      <c r="B103" s="114"/>
      <c r="C103" s="114"/>
      <c r="D103" s="114"/>
      <c r="E103" s="114"/>
      <c r="F103" s="114"/>
      <c r="G103" s="114"/>
      <c r="H103" s="114"/>
      <c r="I103" s="114"/>
    </row>
    <row r="104" spans="1:9">
      <c r="A104" s="114"/>
      <c r="B104" s="114"/>
      <c r="C104" s="114"/>
      <c r="D104" s="114"/>
      <c r="E104" s="114"/>
      <c r="F104" s="114"/>
      <c r="G104" s="114"/>
      <c r="H104" s="114"/>
      <c r="I104" s="114"/>
    </row>
    <row r="105" spans="1:9">
      <c r="A105" s="114"/>
      <c r="B105" s="114"/>
      <c r="C105" s="114"/>
      <c r="D105" s="114"/>
      <c r="E105" s="114"/>
      <c r="F105" s="114"/>
      <c r="G105" s="114"/>
      <c r="H105" s="114"/>
      <c r="I105" s="114"/>
    </row>
    <row r="106" spans="1:9">
      <c r="A106" s="114"/>
      <c r="B106" s="114"/>
      <c r="C106" s="114"/>
      <c r="D106" s="114"/>
      <c r="E106" s="114"/>
      <c r="F106" s="114"/>
      <c r="G106" s="114"/>
      <c r="H106" s="114"/>
      <c r="I106" s="114"/>
    </row>
    <row r="107" spans="1:9">
      <c r="A107" s="114"/>
      <c r="B107" s="114"/>
      <c r="C107" s="114"/>
      <c r="D107" s="114"/>
      <c r="E107" s="114"/>
      <c r="F107" s="114"/>
      <c r="G107" s="114"/>
      <c r="H107" s="114"/>
      <c r="I107" s="114"/>
    </row>
    <row r="108" spans="1:9">
      <c r="A108" s="114"/>
      <c r="B108" s="114"/>
      <c r="C108" s="114"/>
      <c r="D108" s="114"/>
      <c r="E108" s="114"/>
      <c r="F108" s="114"/>
      <c r="G108" s="114"/>
      <c r="H108" s="114"/>
      <c r="I108" s="114"/>
    </row>
    <row r="109" spans="1:9">
      <c r="A109" s="114"/>
      <c r="B109" s="114"/>
      <c r="C109" s="114"/>
      <c r="D109" s="114"/>
      <c r="E109" s="114"/>
      <c r="F109" s="114"/>
      <c r="G109" s="114"/>
      <c r="H109" s="114"/>
      <c r="I109" s="114"/>
    </row>
    <row r="110" spans="1:9">
      <c r="A110" s="114"/>
      <c r="B110" s="114"/>
      <c r="C110" s="114"/>
      <c r="D110" s="114"/>
      <c r="E110" s="114"/>
      <c r="F110" s="114"/>
      <c r="G110" s="114"/>
      <c r="H110" s="114"/>
      <c r="I110" s="114"/>
    </row>
    <row r="111" spans="1:9">
      <c r="A111" s="114"/>
      <c r="B111" s="114"/>
      <c r="C111" s="114"/>
      <c r="D111" s="114"/>
      <c r="E111" s="114"/>
      <c r="F111" s="114"/>
      <c r="G111" s="114"/>
      <c r="H111" s="114"/>
      <c r="I111" s="114"/>
    </row>
    <row r="112" spans="1:9">
      <c r="A112" s="114"/>
      <c r="B112" s="114"/>
      <c r="C112" s="114"/>
      <c r="D112" s="114"/>
      <c r="E112" s="114"/>
      <c r="F112" s="114"/>
      <c r="G112" s="114"/>
      <c r="H112" s="114"/>
      <c r="I112" s="114"/>
    </row>
    <row r="113" spans="1:9">
      <c r="A113" s="114"/>
      <c r="B113" s="114"/>
      <c r="C113" s="114"/>
      <c r="D113" s="114"/>
      <c r="E113" s="114"/>
      <c r="F113" s="114"/>
      <c r="G113" s="114"/>
      <c r="H113" s="114"/>
      <c r="I113" s="114"/>
    </row>
    <row r="114" spans="1:9">
      <c r="A114" s="114"/>
      <c r="B114" s="114"/>
      <c r="C114" s="114"/>
      <c r="D114" s="114"/>
      <c r="E114" s="114"/>
      <c r="F114" s="114"/>
      <c r="G114" s="114"/>
      <c r="H114" s="114"/>
      <c r="I114" s="114"/>
    </row>
    <row r="115" spans="1:9">
      <c r="A115" s="114"/>
      <c r="B115" s="114"/>
      <c r="C115" s="114"/>
      <c r="D115" s="114"/>
      <c r="E115" s="114"/>
      <c r="F115" s="114"/>
      <c r="G115" s="114"/>
      <c r="H115" s="114"/>
      <c r="I115" s="114"/>
    </row>
    <row r="116" spans="1:9">
      <c r="A116" s="114"/>
      <c r="B116" s="114"/>
      <c r="C116" s="114"/>
      <c r="D116" s="114"/>
      <c r="E116" s="114"/>
      <c r="F116" s="114"/>
      <c r="G116" s="114"/>
      <c r="H116" s="114"/>
      <c r="I116" s="114"/>
    </row>
    <row r="117" spans="1:9">
      <c r="A117" s="114"/>
      <c r="B117" s="114"/>
      <c r="C117" s="114"/>
      <c r="D117" s="114"/>
      <c r="E117" s="114"/>
      <c r="F117" s="114"/>
      <c r="G117" s="114"/>
      <c r="H117" s="114"/>
      <c r="I117" s="114"/>
    </row>
    <row r="118" spans="1:9">
      <c r="A118" s="114"/>
      <c r="B118" s="114"/>
      <c r="C118" s="114"/>
      <c r="D118" s="114"/>
      <c r="E118" s="114"/>
      <c r="F118" s="114"/>
      <c r="G118" s="114"/>
      <c r="H118" s="114"/>
      <c r="I118" s="114"/>
    </row>
    <row r="119" spans="1:9">
      <c r="A119" s="114"/>
      <c r="B119" s="114"/>
      <c r="C119" s="114"/>
      <c r="D119" s="114"/>
      <c r="E119" s="114"/>
      <c r="F119" s="114"/>
      <c r="G119" s="114"/>
      <c r="H119" s="114"/>
      <c r="I119" s="114"/>
    </row>
    <row r="120" spans="1:9">
      <c r="A120" s="114"/>
      <c r="B120" s="114"/>
      <c r="C120" s="114"/>
      <c r="D120" s="114"/>
      <c r="E120" s="114"/>
      <c r="F120" s="114"/>
      <c r="G120" s="114"/>
      <c r="H120" s="114"/>
      <c r="I120" s="114"/>
    </row>
    <row r="121" spans="1:9">
      <c r="A121" s="114"/>
      <c r="B121" s="114"/>
      <c r="C121" s="114"/>
      <c r="D121" s="114"/>
      <c r="E121" s="114"/>
      <c r="F121" s="114"/>
      <c r="G121" s="114"/>
      <c r="H121" s="114"/>
      <c r="I121" s="114"/>
    </row>
    <row r="122" spans="1:9">
      <c r="A122" s="114"/>
      <c r="B122" s="114"/>
      <c r="C122" s="114"/>
      <c r="D122" s="114"/>
      <c r="E122" s="114"/>
      <c r="F122" s="114"/>
      <c r="G122" s="114"/>
      <c r="H122" s="114"/>
      <c r="I122" s="114"/>
    </row>
    <row r="123" spans="1:9">
      <c r="A123" s="114"/>
      <c r="B123" s="114"/>
      <c r="C123" s="114"/>
      <c r="D123" s="114"/>
      <c r="E123" s="114"/>
      <c r="F123" s="114"/>
      <c r="G123" s="114"/>
      <c r="H123" s="114"/>
      <c r="I123" s="114"/>
    </row>
    <row r="124" spans="1:9">
      <c r="A124" s="114"/>
      <c r="B124" s="114"/>
      <c r="C124" s="114"/>
      <c r="D124" s="114"/>
      <c r="E124" s="114"/>
      <c r="F124" s="114"/>
      <c r="G124" s="114"/>
      <c r="H124" s="114"/>
      <c r="I124" s="114"/>
    </row>
    <row r="125" spans="1:9">
      <c r="A125" s="114"/>
      <c r="B125" s="114"/>
      <c r="C125" s="114"/>
      <c r="D125" s="114"/>
      <c r="E125" s="114"/>
      <c r="F125" s="114"/>
      <c r="G125" s="114"/>
      <c r="H125" s="114"/>
      <c r="I125" s="114"/>
    </row>
    <row r="126" spans="1:9">
      <c r="A126" s="114"/>
      <c r="B126" s="114"/>
      <c r="C126" s="114"/>
      <c r="D126" s="114"/>
      <c r="E126" s="114"/>
      <c r="F126" s="114"/>
      <c r="G126" s="114"/>
      <c r="H126" s="114"/>
      <c r="I126" s="114"/>
    </row>
    <row r="127" spans="1:9">
      <c r="A127" s="114"/>
      <c r="B127" s="114"/>
      <c r="C127" s="114"/>
      <c r="D127" s="114"/>
      <c r="E127" s="114"/>
      <c r="F127" s="114"/>
      <c r="G127" s="114"/>
      <c r="H127" s="114"/>
      <c r="I127" s="114"/>
    </row>
    <row r="128" spans="1:9">
      <c r="A128" s="114"/>
      <c r="B128" s="114"/>
      <c r="C128" s="114"/>
      <c r="D128" s="114"/>
      <c r="E128" s="114"/>
      <c r="F128" s="114"/>
      <c r="G128" s="114"/>
      <c r="H128" s="114"/>
      <c r="I128" s="114"/>
    </row>
    <row r="129" spans="1:9">
      <c r="A129" s="114"/>
      <c r="B129" s="114"/>
      <c r="C129" s="114"/>
      <c r="D129" s="114"/>
      <c r="E129" s="114"/>
      <c r="F129" s="114"/>
      <c r="G129" s="114"/>
      <c r="H129" s="114"/>
      <c r="I129" s="114"/>
    </row>
    <row r="130" spans="1:9">
      <c r="A130" s="114"/>
      <c r="B130" s="114"/>
      <c r="C130" s="114"/>
      <c r="D130" s="114"/>
      <c r="E130" s="114"/>
      <c r="F130" s="114"/>
      <c r="G130" s="114"/>
      <c r="H130" s="114"/>
      <c r="I130" s="114"/>
    </row>
    <row r="131" spans="1:9">
      <c r="A131" s="114"/>
      <c r="B131" s="114"/>
      <c r="C131" s="114"/>
      <c r="D131" s="114"/>
      <c r="E131" s="114"/>
      <c r="F131" s="114"/>
      <c r="G131" s="114"/>
      <c r="H131" s="114"/>
      <c r="I131" s="114"/>
    </row>
    <row r="132" spans="1:9">
      <c r="A132" s="114"/>
      <c r="B132" s="114"/>
      <c r="C132" s="114"/>
      <c r="D132" s="114"/>
      <c r="E132" s="114"/>
      <c r="F132" s="114"/>
      <c r="G132" s="114"/>
      <c r="H132" s="114"/>
      <c r="I132" s="114"/>
    </row>
    <row r="133" spans="1:9">
      <c r="A133" s="114"/>
      <c r="B133" s="114"/>
      <c r="C133" s="114"/>
      <c r="D133" s="114"/>
      <c r="E133" s="114"/>
      <c r="F133" s="114"/>
      <c r="G133" s="114"/>
      <c r="H133" s="114"/>
      <c r="I133" s="114"/>
    </row>
    <row r="134" spans="1:9">
      <c r="A134" s="114"/>
      <c r="B134" s="114"/>
      <c r="C134" s="114"/>
      <c r="D134" s="114"/>
      <c r="E134" s="114"/>
      <c r="F134" s="114"/>
      <c r="G134" s="114"/>
      <c r="H134" s="114"/>
      <c r="I134" s="114"/>
    </row>
    <row r="135" spans="1:9">
      <c r="A135" s="114"/>
      <c r="B135" s="114"/>
      <c r="C135" s="114"/>
      <c r="D135" s="114"/>
      <c r="E135" s="114"/>
      <c r="F135" s="114"/>
      <c r="G135" s="114"/>
      <c r="H135" s="114"/>
      <c r="I135" s="114"/>
    </row>
    <row r="136" spans="1:9">
      <c r="A136" s="114"/>
      <c r="B136" s="114"/>
      <c r="C136" s="114"/>
      <c r="D136" s="114"/>
      <c r="E136" s="114"/>
      <c r="F136" s="114"/>
      <c r="G136" s="114"/>
      <c r="H136" s="114"/>
      <c r="I136" s="114"/>
    </row>
    <row r="137" spans="1:9">
      <c r="A137" s="114"/>
      <c r="B137" s="114"/>
      <c r="C137" s="114"/>
      <c r="D137" s="114"/>
      <c r="E137" s="114"/>
      <c r="F137" s="114"/>
      <c r="G137" s="114"/>
      <c r="H137" s="114"/>
      <c r="I137" s="114"/>
    </row>
    <row r="138" spans="1:9">
      <c r="A138" s="114"/>
      <c r="B138" s="114"/>
      <c r="C138" s="114"/>
      <c r="D138" s="114"/>
      <c r="E138" s="114"/>
      <c r="F138" s="114"/>
      <c r="G138" s="114"/>
      <c r="H138" s="114"/>
      <c r="I138" s="114"/>
    </row>
    <row r="139" spans="1:9">
      <c r="A139" s="114"/>
      <c r="B139" s="114"/>
      <c r="C139" s="114"/>
      <c r="D139" s="114"/>
      <c r="E139" s="114"/>
      <c r="F139" s="114"/>
      <c r="G139" s="114"/>
      <c r="H139" s="114"/>
      <c r="I139" s="114"/>
    </row>
    <row r="140" spans="1:9">
      <c r="A140" s="114"/>
      <c r="B140" s="114"/>
      <c r="C140" s="114"/>
      <c r="D140" s="114"/>
      <c r="E140" s="114"/>
      <c r="F140" s="114"/>
      <c r="G140" s="114"/>
      <c r="H140" s="114"/>
      <c r="I140" s="114"/>
    </row>
    <row r="141" spans="1:9">
      <c r="A141" s="114"/>
      <c r="B141" s="114"/>
      <c r="C141" s="114"/>
      <c r="D141" s="114"/>
      <c r="E141" s="114"/>
      <c r="F141" s="114"/>
      <c r="G141" s="114"/>
      <c r="H141" s="114"/>
      <c r="I141" s="114"/>
    </row>
    <row r="142" spans="1:9">
      <c r="A142" s="114"/>
      <c r="B142" s="114"/>
      <c r="C142" s="114"/>
      <c r="D142" s="114"/>
      <c r="E142" s="114"/>
      <c r="F142" s="114"/>
      <c r="G142" s="114"/>
      <c r="H142" s="114"/>
      <c r="I142" s="114"/>
    </row>
    <row r="143" spans="1:9">
      <c r="A143" s="114"/>
      <c r="B143" s="114"/>
      <c r="C143" s="114"/>
      <c r="D143" s="114"/>
      <c r="E143" s="114"/>
      <c r="F143" s="114"/>
      <c r="G143" s="114"/>
      <c r="H143" s="114"/>
      <c r="I143" s="114"/>
    </row>
    <row r="144" spans="1:9">
      <c r="A144" s="114"/>
      <c r="B144" s="114"/>
      <c r="C144" s="114"/>
      <c r="D144" s="114"/>
      <c r="E144" s="114"/>
      <c r="F144" s="114"/>
      <c r="G144" s="114"/>
      <c r="H144" s="114"/>
      <c r="I144" s="114"/>
    </row>
    <row r="145" spans="1:9">
      <c r="A145" s="114"/>
      <c r="B145" s="114"/>
      <c r="C145" s="114"/>
      <c r="D145" s="114"/>
      <c r="E145" s="114"/>
      <c r="F145" s="114"/>
      <c r="G145" s="114"/>
      <c r="H145" s="114"/>
      <c r="I145" s="114"/>
    </row>
    <row r="146" spans="1:9">
      <c r="A146" s="114"/>
      <c r="B146" s="114"/>
      <c r="C146" s="114"/>
      <c r="D146" s="114"/>
      <c r="E146" s="114"/>
      <c r="F146" s="114"/>
      <c r="G146" s="114"/>
      <c r="H146" s="114"/>
      <c r="I146" s="114"/>
    </row>
    <row r="147" spans="1:9">
      <c r="A147" s="114"/>
      <c r="B147" s="114"/>
      <c r="C147" s="114"/>
      <c r="D147" s="114"/>
      <c r="E147" s="114"/>
      <c r="F147" s="114"/>
      <c r="G147" s="114"/>
      <c r="H147" s="114"/>
      <c r="I147" s="114"/>
    </row>
    <row r="148" spans="1:9">
      <c r="A148" s="114"/>
      <c r="B148" s="114"/>
      <c r="C148" s="114"/>
      <c r="D148" s="114"/>
      <c r="E148" s="114"/>
      <c r="F148" s="114"/>
      <c r="G148" s="114"/>
      <c r="H148" s="114"/>
      <c r="I148" s="114"/>
    </row>
    <row r="149" spans="1:9">
      <c r="A149" s="114"/>
      <c r="B149" s="114"/>
      <c r="C149" s="114"/>
      <c r="D149" s="114"/>
      <c r="E149" s="114"/>
      <c r="F149" s="114"/>
      <c r="G149" s="114"/>
      <c r="H149" s="114"/>
      <c r="I149" s="114"/>
    </row>
    <row r="150" spans="1:9">
      <c r="A150" s="114"/>
      <c r="B150" s="114"/>
      <c r="C150" s="114"/>
      <c r="D150" s="114"/>
      <c r="E150" s="114"/>
      <c r="F150" s="114"/>
      <c r="G150" s="114"/>
      <c r="H150" s="114"/>
      <c r="I150" s="114"/>
    </row>
    <row r="151" spans="1:9">
      <c r="A151" s="114"/>
      <c r="B151" s="114"/>
      <c r="C151" s="114"/>
      <c r="D151" s="114"/>
      <c r="E151" s="114"/>
      <c r="F151" s="114"/>
      <c r="G151" s="114"/>
      <c r="H151" s="114"/>
      <c r="I151" s="114"/>
    </row>
    <row r="152" spans="1:9">
      <c r="A152" s="114"/>
      <c r="B152" s="114"/>
      <c r="C152" s="114"/>
      <c r="D152" s="114"/>
      <c r="E152" s="114"/>
      <c r="F152" s="114"/>
      <c r="G152" s="114"/>
      <c r="H152" s="114"/>
      <c r="I152" s="114"/>
    </row>
    <row r="153" spans="1:9">
      <c r="A153" s="114"/>
      <c r="B153" s="114"/>
      <c r="C153" s="114"/>
      <c r="D153" s="114"/>
      <c r="E153" s="114"/>
      <c r="F153" s="114"/>
      <c r="G153" s="114"/>
      <c r="H153" s="114"/>
      <c r="I153" s="114"/>
    </row>
    <row r="154" spans="1:9">
      <c r="A154" s="114"/>
      <c r="B154" s="114"/>
      <c r="C154" s="114"/>
      <c r="D154" s="114"/>
      <c r="E154" s="114"/>
      <c r="F154" s="114"/>
      <c r="G154" s="114"/>
      <c r="H154" s="114"/>
      <c r="I154" s="114"/>
    </row>
    <row r="155" spans="1:9">
      <c r="A155" s="114"/>
      <c r="B155" s="114"/>
      <c r="C155" s="114"/>
      <c r="D155" s="114"/>
      <c r="E155" s="114"/>
      <c r="F155" s="114"/>
      <c r="G155" s="114"/>
      <c r="H155" s="114"/>
      <c r="I155" s="114"/>
    </row>
    <row r="156" spans="1:9">
      <c r="A156" s="114"/>
      <c r="B156" s="114"/>
      <c r="C156" s="114"/>
      <c r="D156" s="114"/>
      <c r="E156" s="114"/>
      <c r="F156" s="114"/>
      <c r="G156" s="114"/>
      <c r="H156" s="114"/>
      <c r="I156" s="114"/>
    </row>
    <row r="157" spans="1:9">
      <c r="A157" s="114"/>
      <c r="B157" s="114"/>
      <c r="C157" s="114"/>
      <c r="D157" s="114"/>
      <c r="E157" s="114"/>
      <c r="F157" s="114"/>
      <c r="G157" s="114"/>
      <c r="H157" s="114"/>
      <c r="I157" s="114"/>
    </row>
    <row r="158" spans="1:9">
      <c r="A158" s="114"/>
      <c r="B158" s="114"/>
      <c r="C158" s="114"/>
      <c r="D158" s="114"/>
      <c r="E158" s="114"/>
      <c r="F158" s="114"/>
      <c r="G158" s="114"/>
      <c r="H158" s="114"/>
      <c r="I158" s="114"/>
    </row>
    <row r="159" spans="1:9">
      <c r="A159" s="114"/>
      <c r="B159" s="114"/>
      <c r="C159" s="114"/>
      <c r="D159" s="114"/>
      <c r="E159" s="114"/>
      <c r="F159" s="114"/>
      <c r="G159" s="114"/>
      <c r="H159" s="114"/>
      <c r="I159" s="114"/>
    </row>
    <row r="160" spans="1:9">
      <c r="A160" s="114"/>
      <c r="B160" s="114"/>
      <c r="C160" s="114"/>
      <c r="D160" s="114"/>
      <c r="E160" s="114"/>
      <c r="F160" s="114"/>
      <c r="G160" s="114"/>
      <c r="H160" s="114"/>
      <c r="I160" s="114"/>
    </row>
    <row r="161" spans="1:9">
      <c r="A161" s="114"/>
      <c r="B161" s="114"/>
      <c r="C161" s="114"/>
      <c r="D161" s="114"/>
      <c r="E161" s="114"/>
      <c r="F161" s="114"/>
      <c r="G161" s="114"/>
      <c r="H161" s="114"/>
      <c r="I161" s="114"/>
    </row>
    <row r="162" spans="1:9">
      <c r="A162" s="114"/>
      <c r="B162" s="114"/>
      <c r="C162" s="114"/>
      <c r="D162" s="114"/>
      <c r="E162" s="114"/>
      <c r="F162" s="114"/>
      <c r="G162" s="114"/>
      <c r="H162" s="114"/>
      <c r="I162" s="114"/>
    </row>
    <row r="163" spans="1:9">
      <c r="A163" s="114"/>
      <c r="B163" s="114"/>
      <c r="C163" s="114"/>
      <c r="D163" s="114"/>
      <c r="E163" s="114"/>
      <c r="F163" s="114"/>
      <c r="G163" s="114"/>
      <c r="H163" s="114"/>
      <c r="I163" s="114"/>
    </row>
    <row r="164" spans="1:9">
      <c r="A164" s="114"/>
      <c r="B164" s="114"/>
      <c r="C164" s="114"/>
      <c r="D164" s="114"/>
      <c r="E164" s="114"/>
      <c r="F164" s="114"/>
      <c r="G164" s="114"/>
      <c r="H164" s="114"/>
      <c r="I164" s="114"/>
    </row>
    <row r="165" spans="1:9">
      <c r="A165" s="114"/>
      <c r="B165" s="114"/>
      <c r="C165" s="114"/>
      <c r="D165" s="114"/>
      <c r="E165" s="114"/>
      <c r="F165" s="114"/>
      <c r="G165" s="114"/>
      <c r="H165" s="114"/>
      <c r="I165" s="114"/>
    </row>
    <row r="166" spans="1:9">
      <c r="A166" s="114"/>
      <c r="B166" s="114"/>
      <c r="C166" s="114"/>
      <c r="D166" s="114"/>
      <c r="E166" s="114"/>
      <c r="F166" s="114"/>
      <c r="G166" s="114"/>
      <c r="H166" s="114"/>
      <c r="I166" s="114"/>
    </row>
    <row r="167" spans="1:9">
      <c r="A167" s="114"/>
      <c r="B167" s="114"/>
      <c r="C167" s="114"/>
      <c r="D167" s="114"/>
      <c r="E167" s="114"/>
      <c r="F167" s="114"/>
      <c r="G167" s="114"/>
      <c r="H167" s="114"/>
      <c r="I167" s="114"/>
    </row>
    <row r="168" spans="1:9">
      <c r="A168" s="114"/>
      <c r="B168" s="114"/>
      <c r="C168" s="114"/>
      <c r="D168" s="114"/>
      <c r="E168" s="114"/>
      <c r="F168" s="114"/>
      <c r="G168" s="114"/>
      <c r="H168" s="114"/>
      <c r="I168" s="114"/>
    </row>
    <row r="169" spans="1:9">
      <c r="A169" s="114"/>
      <c r="B169" s="114"/>
      <c r="C169" s="114"/>
      <c r="D169" s="114"/>
      <c r="E169" s="114"/>
      <c r="F169" s="114"/>
      <c r="G169" s="114"/>
      <c r="H169" s="114"/>
      <c r="I169" s="114"/>
    </row>
    <row r="170" spans="1:9">
      <c r="A170" s="114"/>
      <c r="B170" s="114"/>
      <c r="C170" s="114"/>
      <c r="D170" s="114"/>
      <c r="E170" s="114"/>
      <c r="F170" s="114"/>
      <c r="G170" s="114"/>
      <c r="H170" s="114"/>
      <c r="I170" s="114"/>
    </row>
    <row r="171" spans="1:9">
      <c r="A171" s="114"/>
      <c r="B171" s="114"/>
      <c r="C171" s="114"/>
      <c r="D171" s="114"/>
      <c r="E171" s="114"/>
      <c r="F171" s="114"/>
      <c r="G171" s="114"/>
      <c r="H171" s="114"/>
      <c r="I171" s="114"/>
    </row>
    <row r="172" spans="1:9">
      <c r="A172" s="114"/>
      <c r="B172" s="114"/>
      <c r="C172" s="114"/>
      <c r="D172" s="114"/>
      <c r="E172" s="114"/>
      <c r="F172" s="114"/>
      <c r="G172" s="114"/>
      <c r="H172" s="114"/>
      <c r="I172" s="114"/>
    </row>
    <row r="173" spans="1:9">
      <c r="A173" s="114"/>
      <c r="B173" s="114"/>
      <c r="C173" s="114"/>
      <c r="D173" s="114"/>
      <c r="E173" s="114"/>
      <c r="F173" s="114"/>
      <c r="G173" s="114"/>
      <c r="H173" s="114"/>
      <c r="I173" s="114"/>
    </row>
    <row r="174" spans="1:9">
      <c r="A174" s="114"/>
      <c r="B174" s="114"/>
      <c r="C174" s="114"/>
      <c r="D174" s="114"/>
      <c r="E174" s="114"/>
      <c r="F174" s="114"/>
      <c r="G174" s="114"/>
      <c r="H174" s="114"/>
      <c r="I174" s="114"/>
    </row>
    <row r="175" spans="1:9">
      <c r="A175" s="114"/>
      <c r="B175" s="114"/>
      <c r="C175" s="114"/>
      <c r="D175" s="114"/>
      <c r="E175" s="114"/>
      <c r="F175" s="114"/>
      <c r="G175" s="114"/>
      <c r="H175" s="114"/>
      <c r="I175" s="114"/>
    </row>
    <row r="176" spans="1:9">
      <c r="A176" s="114"/>
      <c r="B176" s="114"/>
      <c r="C176" s="114"/>
      <c r="D176" s="114"/>
      <c r="E176" s="114"/>
      <c r="F176" s="114"/>
      <c r="G176" s="114"/>
      <c r="H176" s="114"/>
      <c r="I176" s="114"/>
    </row>
    <row r="177" spans="1:9">
      <c r="A177" s="114"/>
      <c r="B177" s="114"/>
      <c r="C177" s="114"/>
      <c r="D177" s="114"/>
      <c r="E177" s="114"/>
      <c r="F177" s="114"/>
      <c r="G177" s="114"/>
      <c r="H177" s="114"/>
      <c r="I177" s="114"/>
    </row>
    <row r="178" spans="1:9">
      <c r="A178" s="114"/>
      <c r="B178" s="114"/>
      <c r="C178" s="114"/>
      <c r="D178" s="114"/>
      <c r="E178" s="114"/>
      <c r="F178" s="114"/>
      <c r="G178" s="114"/>
      <c r="H178" s="114"/>
      <c r="I178" s="114"/>
    </row>
    <row r="179" spans="1:9">
      <c r="A179" s="114"/>
      <c r="B179" s="114"/>
      <c r="C179" s="114"/>
      <c r="D179" s="114"/>
      <c r="E179" s="114"/>
      <c r="F179" s="114"/>
      <c r="G179" s="114"/>
      <c r="H179" s="114"/>
      <c r="I179" s="114"/>
    </row>
    <row r="180" spans="1:9">
      <c r="A180" s="114"/>
      <c r="B180" s="114"/>
      <c r="C180" s="114"/>
      <c r="D180" s="114"/>
      <c r="E180" s="114"/>
      <c r="F180" s="114"/>
      <c r="G180" s="114"/>
      <c r="H180" s="114"/>
      <c r="I180" s="114"/>
    </row>
    <row r="181" spans="1:9">
      <c r="A181" s="114"/>
      <c r="B181" s="114"/>
      <c r="C181" s="114"/>
      <c r="D181" s="114"/>
      <c r="E181" s="114"/>
      <c r="F181" s="114"/>
      <c r="G181" s="114"/>
      <c r="H181" s="114"/>
      <c r="I181" s="114"/>
    </row>
    <row r="182" spans="1:9">
      <c r="A182" s="114"/>
      <c r="B182" s="114"/>
      <c r="C182" s="114"/>
      <c r="D182" s="114"/>
      <c r="E182" s="114"/>
      <c r="F182" s="114"/>
      <c r="G182" s="114"/>
      <c r="H182" s="114"/>
      <c r="I182" s="114"/>
    </row>
    <row r="183" spans="1:9">
      <c r="A183" s="114"/>
      <c r="B183" s="114"/>
      <c r="C183" s="114"/>
      <c r="D183" s="114"/>
      <c r="E183" s="114"/>
      <c r="F183" s="114"/>
      <c r="G183" s="114"/>
      <c r="H183" s="114"/>
      <c r="I183" s="114"/>
    </row>
    <row r="184" spans="1:9">
      <c r="A184" s="114"/>
      <c r="B184" s="114"/>
      <c r="C184" s="114"/>
      <c r="D184" s="114"/>
      <c r="E184" s="114"/>
      <c r="F184" s="114"/>
      <c r="G184" s="114"/>
      <c r="H184" s="114"/>
      <c r="I184" s="114"/>
    </row>
    <row r="185" spans="1:9">
      <c r="A185" s="114"/>
      <c r="B185" s="114"/>
      <c r="C185" s="114"/>
      <c r="D185" s="114"/>
      <c r="E185" s="114"/>
      <c r="F185" s="114"/>
      <c r="G185" s="114"/>
      <c r="H185" s="114"/>
      <c r="I185" s="114"/>
    </row>
    <row r="186" spans="1:9">
      <c r="A186" s="114"/>
      <c r="B186" s="114"/>
      <c r="C186" s="114"/>
      <c r="D186" s="114"/>
      <c r="E186" s="114"/>
      <c r="F186" s="114"/>
      <c r="G186" s="114"/>
      <c r="H186" s="114"/>
      <c r="I186" s="114"/>
    </row>
    <row r="187" spans="1:9">
      <c r="A187" s="114"/>
      <c r="B187" s="114"/>
      <c r="C187" s="114"/>
      <c r="D187" s="114"/>
      <c r="E187" s="114"/>
      <c r="F187" s="114"/>
      <c r="G187" s="114"/>
      <c r="H187" s="114"/>
      <c r="I187" s="114"/>
    </row>
    <row r="188" spans="1:9">
      <c r="A188" s="114"/>
      <c r="B188" s="114"/>
      <c r="C188" s="114"/>
      <c r="D188" s="114"/>
      <c r="E188" s="114"/>
      <c r="F188" s="114"/>
      <c r="G188" s="114"/>
      <c r="H188" s="114"/>
      <c r="I188" s="114"/>
    </row>
    <row r="189" spans="1:9">
      <c r="A189" s="114"/>
      <c r="B189" s="114"/>
      <c r="C189" s="114"/>
      <c r="D189" s="114"/>
      <c r="E189" s="114"/>
      <c r="F189" s="114"/>
      <c r="G189" s="114"/>
      <c r="H189" s="114"/>
      <c r="I189" s="114"/>
    </row>
    <row r="190" spans="1:9">
      <c r="A190" s="114"/>
      <c r="B190" s="114"/>
      <c r="C190" s="114"/>
      <c r="D190" s="114"/>
      <c r="E190" s="114"/>
      <c r="F190" s="114"/>
      <c r="G190" s="114"/>
      <c r="H190" s="114"/>
      <c r="I190" s="114"/>
    </row>
    <row r="191" spans="1:9">
      <c r="A191" s="114"/>
      <c r="B191" s="114"/>
      <c r="C191" s="114"/>
      <c r="D191" s="114"/>
      <c r="E191" s="114"/>
      <c r="F191" s="114"/>
      <c r="G191" s="114"/>
      <c r="H191" s="114"/>
      <c r="I191" s="114"/>
    </row>
    <row r="192" spans="1:9">
      <c r="A192" s="114"/>
      <c r="B192" s="114"/>
      <c r="C192" s="114"/>
      <c r="D192" s="114"/>
      <c r="E192" s="114"/>
      <c r="F192" s="114"/>
      <c r="G192" s="114"/>
      <c r="H192" s="114"/>
      <c r="I192" s="114"/>
    </row>
    <row r="193" spans="1:9">
      <c r="A193" s="114"/>
      <c r="B193" s="114"/>
      <c r="C193" s="114"/>
      <c r="D193" s="114"/>
      <c r="E193" s="114"/>
      <c r="F193" s="114"/>
      <c r="G193" s="114"/>
      <c r="H193" s="114"/>
      <c r="I193" s="114"/>
    </row>
    <row r="194" spans="1:9">
      <c r="A194" s="114"/>
      <c r="B194" s="114"/>
      <c r="C194" s="114"/>
      <c r="D194" s="114"/>
      <c r="E194" s="114"/>
      <c r="F194" s="114"/>
      <c r="G194" s="114"/>
      <c r="H194" s="114"/>
      <c r="I194" s="114"/>
    </row>
    <row r="195" spans="1:9">
      <c r="A195" s="114"/>
      <c r="B195" s="114"/>
      <c r="C195" s="114"/>
      <c r="D195" s="114"/>
      <c r="E195" s="114"/>
      <c r="F195" s="114"/>
      <c r="G195" s="114"/>
      <c r="H195" s="114"/>
      <c r="I195" s="114"/>
    </row>
    <row r="196" spans="1:9">
      <c r="A196" s="114"/>
      <c r="B196" s="114"/>
      <c r="C196" s="114"/>
      <c r="D196" s="114"/>
      <c r="E196" s="114"/>
      <c r="F196" s="114"/>
      <c r="G196" s="114"/>
      <c r="H196" s="114"/>
      <c r="I196" s="114"/>
    </row>
    <row r="197" spans="1:9">
      <c r="A197" s="114"/>
      <c r="B197" s="114"/>
      <c r="C197" s="114"/>
      <c r="D197" s="114"/>
      <c r="E197" s="114"/>
      <c r="F197" s="114"/>
      <c r="G197" s="114"/>
      <c r="H197" s="114"/>
      <c r="I197" s="114"/>
    </row>
    <row r="198" spans="1:9">
      <c r="A198" s="114"/>
      <c r="B198" s="114"/>
      <c r="C198" s="114"/>
      <c r="D198" s="114"/>
      <c r="E198" s="114"/>
      <c r="F198" s="114"/>
      <c r="G198" s="114"/>
      <c r="H198" s="114"/>
      <c r="I198" s="114"/>
    </row>
    <row r="199" spans="1:9">
      <c r="A199" s="114"/>
      <c r="B199" s="114"/>
      <c r="C199" s="114"/>
      <c r="D199" s="114"/>
      <c r="E199" s="114"/>
      <c r="F199" s="114"/>
      <c r="G199" s="114"/>
      <c r="H199" s="114"/>
      <c r="I199" s="114"/>
    </row>
    <row r="200" spans="1:9">
      <c r="A200" s="114"/>
      <c r="B200" s="114"/>
      <c r="C200" s="114"/>
      <c r="D200" s="114"/>
      <c r="E200" s="114"/>
      <c r="F200" s="114"/>
      <c r="G200" s="114"/>
      <c r="H200" s="114"/>
      <c r="I200" s="114"/>
    </row>
    <row r="201" spans="1:9">
      <c r="A201" s="114"/>
      <c r="B201" s="114"/>
      <c r="C201" s="114"/>
      <c r="D201" s="114"/>
      <c r="E201" s="114"/>
      <c r="F201" s="114"/>
      <c r="G201" s="114"/>
      <c r="H201" s="114"/>
      <c r="I201" s="114"/>
    </row>
    <row r="202" spans="1:9">
      <c r="A202" s="114"/>
      <c r="B202" s="114"/>
      <c r="C202" s="114"/>
      <c r="D202" s="114"/>
      <c r="E202" s="114"/>
      <c r="F202" s="114"/>
      <c r="G202" s="114"/>
      <c r="H202" s="114"/>
      <c r="I202" s="114"/>
    </row>
    <row r="203" spans="1:9">
      <c r="A203" s="114"/>
      <c r="B203" s="114"/>
      <c r="C203" s="114"/>
      <c r="D203" s="114"/>
      <c r="E203" s="114"/>
      <c r="F203" s="114"/>
      <c r="G203" s="114"/>
      <c r="H203" s="114"/>
      <c r="I203" s="114"/>
    </row>
    <row r="204" spans="1:9">
      <c r="A204" s="114"/>
      <c r="B204" s="114"/>
      <c r="C204" s="114"/>
      <c r="D204" s="114"/>
      <c r="E204" s="114"/>
      <c r="F204" s="114"/>
      <c r="G204" s="114"/>
      <c r="H204" s="114"/>
      <c r="I204" s="114"/>
    </row>
    <row r="205" spans="1:9">
      <c r="A205" s="114"/>
      <c r="B205" s="114"/>
      <c r="C205" s="114"/>
      <c r="D205" s="114"/>
      <c r="E205" s="114"/>
      <c r="F205" s="114"/>
      <c r="G205" s="114"/>
      <c r="H205" s="114"/>
      <c r="I205" s="114"/>
    </row>
    <row r="206" spans="1:9">
      <c r="A206" s="114"/>
      <c r="B206" s="114"/>
      <c r="C206" s="114"/>
      <c r="D206" s="114"/>
      <c r="E206" s="114"/>
      <c r="F206" s="114"/>
      <c r="G206" s="114"/>
      <c r="H206" s="114"/>
      <c r="I206" s="114"/>
    </row>
    <row r="207" spans="1:9">
      <c r="A207" s="114"/>
      <c r="B207" s="114"/>
      <c r="C207" s="114"/>
      <c r="D207" s="114"/>
      <c r="E207" s="114"/>
      <c r="F207" s="114"/>
      <c r="G207" s="114"/>
      <c r="H207" s="114"/>
      <c r="I207" s="114"/>
    </row>
    <row r="208" spans="1:9">
      <c r="A208" s="114"/>
      <c r="B208" s="114"/>
      <c r="C208" s="114"/>
      <c r="D208" s="114"/>
      <c r="E208" s="114"/>
      <c r="F208" s="114"/>
      <c r="G208" s="114"/>
      <c r="H208" s="114"/>
      <c r="I208" s="114"/>
    </row>
    <row r="209" spans="1:9">
      <c r="A209" s="114"/>
      <c r="B209" s="114"/>
      <c r="C209" s="114"/>
      <c r="D209" s="114"/>
      <c r="E209" s="114"/>
      <c r="F209" s="114"/>
      <c r="G209" s="114"/>
      <c r="H209" s="114"/>
      <c r="I209" s="114"/>
    </row>
    <row r="210" spans="1:9">
      <c r="A210" s="114"/>
      <c r="B210" s="114"/>
      <c r="C210" s="114"/>
      <c r="D210" s="114"/>
      <c r="E210" s="114"/>
      <c r="F210" s="114"/>
      <c r="G210" s="114"/>
      <c r="H210" s="114"/>
      <c r="I210" s="114"/>
    </row>
    <row r="211" spans="1:9">
      <c r="A211" s="114"/>
      <c r="B211" s="114"/>
      <c r="C211" s="114"/>
      <c r="D211" s="114"/>
      <c r="E211" s="114"/>
      <c r="F211" s="114"/>
      <c r="G211" s="114"/>
      <c r="H211" s="114"/>
      <c r="I211" s="114"/>
    </row>
    <row r="212" spans="1:9">
      <c r="A212" s="114"/>
      <c r="B212" s="114"/>
      <c r="C212" s="114"/>
      <c r="D212" s="114"/>
      <c r="E212" s="114"/>
      <c r="F212" s="114"/>
      <c r="G212" s="114"/>
      <c r="H212" s="114"/>
      <c r="I212" s="114"/>
    </row>
    <row r="213" spans="1:9">
      <c r="A213" s="114"/>
      <c r="B213" s="114"/>
      <c r="C213" s="114"/>
      <c r="D213" s="114"/>
      <c r="E213" s="114"/>
      <c r="F213" s="114"/>
      <c r="G213" s="114"/>
      <c r="H213" s="114"/>
      <c r="I213" s="114"/>
    </row>
    <row r="214" spans="1:9">
      <c r="A214" s="114"/>
      <c r="B214" s="114"/>
      <c r="C214" s="114"/>
      <c r="D214" s="114"/>
      <c r="E214" s="114"/>
      <c r="F214" s="114"/>
      <c r="G214" s="114"/>
      <c r="H214" s="114"/>
      <c r="I214" s="114"/>
    </row>
    <row r="215" spans="1:9">
      <c r="A215" s="114"/>
      <c r="B215" s="114"/>
      <c r="C215" s="114"/>
      <c r="D215" s="114"/>
      <c r="E215" s="114"/>
      <c r="F215" s="114"/>
      <c r="G215" s="114"/>
      <c r="H215" s="114"/>
      <c r="I215" s="114"/>
    </row>
    <row r="216" spans="1:9">
      <c r="A216" s="114"/>
      <c r="B216" s="114"/>
      <c r="C216" s="114"/>
      <c r="D216" s="114"/>
      <c r="E216" s="114"/>
      <c r="F216" s="114"/>
      <c r="G216" s="114"/>
      <c r="H216" s="114"/>
      <c r="I216" s="114"/>
    </row>
    <row r="217" spans="1:9">
      <c r="A217" s="114"/>
      <c r="B217" s="114"/>
      <c r="C217" s="114"/>
      <c r="D217" s="114"/>
      <c r="E217" s="114"/>
      <c r="F217" s="114"/>
      <c r="G217" s="114"/>
      <c r="H217" s="114"/>
      <c r="I217" s="114"/>
    </row>
    <row r="218" spans="1:9">
      <c r="A218" s="114"/>
      <c r="B218" s="114"/>
      <c r="C218" s="114"/>
      <c r="D218" s="114"/>
      <c r="E218" s="114"/>
      <c r="F218" s="114"/>
      <c r="G218" s="114"/>
      <c r="H218" s="114"/>
      <c r="I218" s="114"/>
    </row>
    <row r="219" spans="1:9">
      <c r="A219" s="114"/>
      <c r="B219" s="114"/>
      <c r="C219" s="114"/>
      <c r="D219" s="114"/>
      <c r="E219" s="114"/>
      <c r="F219" s="114"/>
      <c r="G219" s="114"/>
      <c r="H219" s="114"/>
      <c r="I219" s="114"/>
    </row>
    <row r="220" spans="1:9">
      <c r="A220" s="114"/>
      <c r="B220" s="114"/>
      <c r="C220" s="114"/>
      <c r="D220" s="114"/>
      <c r="E220" s="114"/>
      <c r="F220" s="114"/>
      <c r="G220" s="114"/>
      <c r="H220" s="114"/>
      <c r="I220" s="114"/>
    </row>
    <row r="221" spans="1:9">
      <c r="A221" s="114"/>
      <c r="B221" s="114"/>
      <c r="C221" s="114"/>
      <c r="D221" s="114"/>
      <c r="E221" s="114"/>
      <c r="F221" s="114"/>
      <c r="G221" s="114"/>
      <c r="H221" s="114"/>
      <c r="I221" s="114"/>
    </row>
    <row r="222" spans="1:9">
      <c r="A222" s="114"/>
      <c r="B222" s="114"/>
      <c r="C222" s="114"/>
      <c r="D222" s="114"/>
      <c r="E222" s="114"/>
      <c r="F222" s="114"/>
      <c r="G222" s="114"/>
      <c r="H222" s="114"/>
      <c r="I222" s="114"/>
    </row>
    <row r="223" spans="1:9">
      <c r="A223" s="114"/>
      <c r="B223" s="114"/>
      <c r="C223" s="114"/>
      <c r="D223" s="114"/>
      <c r="E223" s="114"/>
      <c r="F223" s="114"/>
      <c r="G223" s="114"/>
      <c r="H223" s="114"/>
      <c r="I223" s="114"/>
    </row>
    <row r="224" spans="1:9">
      <c r="A224" s="114"/>
      <c r="B224" s="114"/>
      <c r="C224" s="114"/>
      <c r="D224" s="114"/>
      <c r="E224" s="114"/>
      <c r="F224" s="114"/>
      <c r="G224" s="114"/>
      <c r="H224" s="114"/>
      <c r="I224" s="114"/>
    </row>
    <row r="225" spans="1:9">
      <c r="A225" s="114"/>
      <c r="B225" s="114"/>
      <c r="C225" s="114"/>
      <c r="D225" s="114"/>
      <c r="E225" s="114"/>
      <c r="F225" s="114"/>
      <c r="G225" s="114"/>
      <c r="H225" s="114"/>
      <c r="I225" s="114"/>
    </row>
    <row r="226" spans="1:9">
      <c r="A226" s="114"/>
      <c r="B226" s="114"/>
      <c r="C226" s="114"/>
      <c r="D226" s="114"/>
      <c r="E226" s="114"/>
      <c r="F226" s="114"/>
      <c r="G226" s="114"/>
      <c r="H226" s="114"/>
      <c r="I226" s="114"/>
    </row>
    <row r="227" spans="1:9">
      <c r="A227" s="114"/>
      <c r="B227" s="114"/>
      <c r="C227" s="114"/>
      <c r="D227" s="114"/>
      <c r="E227" s="114"/>
      <c r="F227" s="114"/>
      <c r="G227" s="114"/>
      <c r="H227" s="114"/>
      <c r="I227" s="114"/>
    </row>
    <row r="228" spans="1:9">
      <c r="A228" s="114"/>
      <c r="B228" s="114"/>
      <c r="C228" s="114"/>
      <c r="D228" s="114"/>
      <c r="E228" s="114"/>
      <c r="F228" s="114"/>
      <c r="G228" s="114"/>
      <c r="H228" s="114"/>
      <c r="I228" s="114"/>
    </row>
    <row r="229" spans="1:9">
      <c r="A229" s="114"/>
      <c r="B229" s="114"/>
      <c r="C229" s="114"/>
      <c r="D229" s="114"/>
      <c r="E229" s="114"/>
      <c r="F229" s="114"/>
      <c r="G229" s="114"/>
      <c r="H229" s="114"/>
      <c r="I229" s="114"/>
    </row>
    <row r="230" spans="1:9">
      <c r="A230" s="114"/>
      <c r="B230" s="114"/>
      <c r="C230" s="114"/>
      <c r="D230" s="114"/>
      <c r="E230" s="114"/>
      <c r="F230" s="114"/>
      <c r="G230" s="114"/>
      <c r="H230" s="114"/>
      <c r="I230" s="114"/>
    </row>
    <row r="231" spans="1:9">
      <c r="A231" s="114"/>
      <c r="B231" s="114"/>
      <c r="C231" s="114"/>
      <c r="D231" s="114"/>
      <c r="E231" s="114"/>
      <c r="F231" s="114"/>
      <c r="G231" s="114"/>
      <c r="H231" s="114"/>
      <c r="I231" s="114"/>
    </row>
    <row r="232" spans="1:9">
      <c r="A232" s="114"/>
      <c r="B232" s="114"/>
      <c r="C232" s="114"/>
      <c r="D232" s="114"/>
      <c r="E232" s="114"/>
      <c r="F232" s="114"/>
      <c r="G232" s="114"/>
      <c r="H232" s="114"/>
      <c r="I232" s="114"/>
    </row>
    <row r="233" spans="1:9">
      <c r="A233" s="114"/>
      <c r="B233" s="114"/>
      <c r="C233" s="114"/>
      <c r="D233" s="114"/>
      <c r="E233" s="114"/>
      <c r="F233" s="114"/>
      <c r="G233" s="114"/>
      <c r="H233" s="114"/>
      <c r="I233" s="114"/>
    </row>
    <row r="234" spans="1:9">
      <c r="A234" s="114"/>
      <c r="B234" s="114"/>
      <c r="C234" s="114"/>
      <c r="D234" s="114"/>
      <c r="E234" s="114"/>
      <c r="F234" s="114"/>
      <c r="G234" s="114"/>
      <c r="H234" s="114"/>
      <c r="I234" s="114"/>
    </row>
    <row r="235" spans="1:9">
      <c r="A235" s="114"/>
      <c r="B235" s="114"/>
      <c r="C235" s="114"/>
      <c r="D235" s="114"/>
      <c r="E235" s="114"/>
      <c r="F235" s="114"/>
      <c r="G235" s="114"/>
      <c r="H235" s="114"/>
      <c r="I235" s="114"/>
    </row>
    <row r="236" spans="1:9">
      <c r="A236" s="114"/>
      <c r="B236" s="114"/>
      <c r="C236" s="114"/>
      <c r="D236" s="114"/>
      <c r="E236" s="114"/>
      <c r="F236" s="114"/>
      <c r="G236" s="114"/>
      <c r="H236" s="114"/>
      <c r="I236" s="114"/>
    </row>
    <row r="237" spans="1:9">
      <c r="A237" s="114"/>
      <c r="B237" s="114"/>
      <c r="C237" s="114"/>
      <c r="D237" s="114"/>
      <c r="E237" s="114"/>
      <c r="F237" s="114"/>
      <c r="G237" s="114"/>
      <c r="H237" s="114"/>
      <c r="I237" s="114"/>
    </row>
    <row r="238" spans="1:9">
      <c r="A238" s="114"/>
      <c r="B238" s="114"/>
      <c r="C238" s="114"/>
      <c r="D238" s="114"/>
      <c r="E238" s="114"/>
      <c r="F238" s="114"/>
      <c r="G238" s="114"/>
      <c r="H238" s="114"/>
      <c r="I238" s="114"/>
    </row>
    <row r="239" spans="1:9">
      <c r="A239" s="114"/>
      <c r="B239" s="114"/>
      <c r="C239" s="114"/>
      <c r="D239" s="114"/>
      <c r="E239" s="114"/>
      <c r="F239" s="114"/>
      <c r="G239" s="114"/>
      <c r="H239" s="114"/>
      <c r="I239" s="114"/>
    </row>
    <row r="240" spans="1:9">
      <c r="A240" s="114"/>
      <c r="B240" s="114"/>
      <c r="C240" s="114"/>
      <c r="D240" s="114"/>
      <c r="E240" s="114"/>
      <c r="F240" s="114"/>
      <c r="G240" s="114"/>
      <c r="H240" s="114"/>
      <c r="I240" s="114"/>
    </row>
    <row r="241" spans="1:9">
      <c r="A241" s="114"/>
      <c r="B241" s="114"/>
      <c r="C241" s="114"/>
      <c r="D241" s="114"/>
      <c r="E241" s="114"/>
      <c r="F241" s="114"/>
      <c r="G241" s="114"/>
      <c r="H241" s="114"/>
      <c r="I241" s="114"/>
    </row>
    <row r="242" spans="1:9">
      <c r="A242" s="114"/>
      <c r="B242" s="114"/>
      <c r="C242" s="114"/>
      <c r="D242" s="114"/>
      <c r="E242" s="114"/>
      <c r="F242" s="114"/>
      <c r="G242" s="114"/>
      <c r="H242" s="114"/>
      <c r="I242" s="114"/>
    </row>
    <row r="243" spans="1:9">
      <c r="A243" s="114"/>
      <c r="B243" s="114"/>
      <c r="C243" s="114"/>
      <c r="D243" s="114"/>
      <c r="E243" s="114"/>
      <c r="F243" s="114"/>
      <c r="G243" s="114"/>
      <c r="H243" s="114"/>
      <c r="I243" s="114"/>
    </row>
    <row r="244" spans="1:9">
      <c r="A244" s="114"/>
      <c r="B244" s="114"/>
      <c r="C244" s="114"/>
      <c r="D244" s="114"/>
      <c r="E244" s="114"/>
      <c r="F244" s="114"/>
      <c r="G244" s="114"/>
      <c r="H244" s="114"/>
      <c r="I244" s="114"/>
    </row>
    <row r="245" spans="1:9">
      <c r="A245" s="114"/>
      <c r="B245" s="114"/>
      <c r="C245" s="114"/>
      <c r="D245" s="114"/>
      <c r="E245" s="114"/>
      <c r="F245" s="114"/>
      <c r="G245" s="114"/>
      <c r="H245" s="114"/>
      <c r="I245" s="114"/>
    </row>
    <row r="246" spans="1:9">
      <c r="A246" s="114"/>
      <c r="B246" s="114"/>
      <c r="C246" s="114"/>
      <c r="D246" s="114"/>
      <c r="E246" s="114"/>
      <c r="F246" s="114"/>
      <c r="G246" s="114"/>
      <c r="H246" s="114"/>
      <c r="I246" s="114"/>
    </row>
    <row r="247" spans="1:9">
      <c r="A247" s="114"/>
      <c r="B247" s="114"/>
      <c r="C247" s="114"/>
      <c r="D247" s="114"/>
      <c r="E247" s="114"/>
      <c r="F247" s="114"/>
      <c r="G247" s="114"/>
      <c r="H247" s="114"/>
      <c r="I247" s="114"/>
    </row>
    <row r="248" spans="1:9">
      <c r="A248" s="114"/>
      <c r="B248" s="114"/>
      <c r="C248" s="114"/>
      <c r="D248" s="114"/>
      <c r="E248" s="114"/>
      <c r="F248" s="114"/>
      <c r="G248" s="114"/>
      <c r="H248" s="114"/>
      <c r="I248" s="114"/>
    </row>
    <row r="249" spans="1:9">
      <c r="A249" s="114"/>
      <c r="B249" s="114"/>
      <c r="C249" s="114"/>
      <c r="D249" s="114"/>
      <c r="E249" s="114"/>
      <c r="F249" s="114"/>
      <c r="G249" s="114"/>
      <c r="H249" s="114"/>
      <c r="I249" s="114"/>
    </row>
    <row r="250" spans="1:9">
      <c r="A250" s="114"/>
      <c r="B250" s="114"/>
      <c r="C250" s="114"/>
      <c r="D250" s="114"/>
      <c r="E250" s="114"/>
      <c r="F250" s="114"/>
      <c r="G250" s="114"/>
      <c r="H250" s="114"/>
      <c r="I250" s="114"/>
    </row>
    <row r="251" spans="1:9">
      <c r="A251" s="114"/>
      <c r="B251" s="114"/>
      <c r="C251" s="114"/>
      <c r="D251" s="114"/>
      <c r="E251" s="114"/>
      <c r="F251" s="114"/>
      <c r="G251" s="114"/>
      <c r="H251" s="114"/>
      <c r="I251" s="114"/>
    </row>
    <row r="252" spans="1:9">
      <c r="A252" s="114"/>
      <c r="B252" s="114"/>
      <c r="C252" s="114"/>
      <c r="D252" s="114"/>
      <c r="E252" s="114"/>
      <c r="F252" s="114"/>
      <c r="G252" s="114"/>
      <c r="H252" s="114"/>
      <c r="I252" s="114"/>
    </row>
    <row r="253" spans="1:9">
      <c r="A253" s="114"/>
      <c r="B253" s="114"/>
      <c r="C253" s="114"/>
      <c r="D253" s="114"/>
      <c r="E253" s="114"/>
      <c r="F253" s="114"/>
      <c r="G253" s="114"/>
      <c r="H253" s="114"/>
      <c r="I253" s="114"/>
    </row>
    <row r="254" spans="1:9">
      <c r="A254" s="114"/>
      <c r="B254" s="114"/>
      <c r="C254" s="114"/>
      <c r="D254" s="114"/>
      <c r="E254" s="114"/>
      <c r="F254" s="114"/>
      <c r="G254" s="114"/>
      <c r="H254" s="114"/>
      <c r="I254" s="114"/>
    </row>
    <row r="255" spans="1:9">
      <c r="A255" s="114"/>
      <c r="B255" s="114"/>
      <c r="C255" s="114"/>
      <c r="D255" s="114"/>
      <c r="E255" s="114"/>
      <c r="F255" s="114"/>
      <c r="G255" s="114"/>
      <c r="H255" s="114"/>
      <c r="I255" s="114"/>
    </row>
    <row r="256" spans="1:9">
      <c r="A256" s="114"/>
      <c r="B256" s="114"/>
      <c r="C256" s="114"/>
      <c r="D256" s="114"/>
      <c r="E256" s="114"/>
      <c r="F256" s="114"/>
      <c r="G256" s="114"/>
      <c r="H256" s="114"/>
      <c r="I256" s="114"/>
    </row>
    <row r="257" spans="1:9">
      <c r="A257" s="114"/>
      <c r="B257" s="114"/>
      <c r="C257" s="114"/>
      <c r="D257" s="114"/>
      <c r="E257" s="114"/>
      <c r="F257" s="114"/>
      <c r="G257" s="114"/>
      <c r="H257" s="114"/>
      <c r="I257" s="114"/>
    </row>
    <row r="258" spans="1:9">
      <c r="A258" s="114"/>
      <c r="B258" s="114"/>
      <c r="C258" s="114"/>
      <c r="D258" s="114"/>
      <c r="E258" s="114"/>
      <c r="F258" s="114"/>
      <c r="G258" s="114"/>
      <c r="H258" s="114"/>
      <c r="I258" s="114"/>
    </row>
    <row r="259" spans="1:9">
      <c r="A259" s="114"/>
      <c r="B259" s="114"/>
      <c r="C259" s="114"/>
      <c r="D259" s="114"/>
      <c r="E259" s="114"/>
      <c r="F259" s="114"/>
      <c r="G259" s="114"/>
      <c r="H259" s="114"/>
      <c r="I259" s="114"/>
    </row>
    <row r="260" spans="1:9">
      <c r="A260" s="114"/>
      <c r="B260" s="114"/>
      <c r="C260" s="114"/>
      <c r="D260" s="114"/>
      <c r="E260" s="114"/>
      <c r="F260" s="114"/>
      <c r="G260" s="114"/>
      <c r="H260" s="114"/>
      <c r="I260" s="114"/>
    </row>
    <row r="261" spans="1:9">
      <c r="A261" s="114"/>
      <c r="B261" s="114"/>
      <c r="C261" s="114"/>
      <c r="D261" s="114"/>
      <c r="E261" s="114"/>
      <c r="F261" s="114"/>
      <c r="G261" s="114"/>
      <c r="H261" s="114"/>
      <c r="I261" s="114"/>
    </row>
    <row r="262" spans="1:9">
      <c r="A262" s="114"/>
      <c r="B262" s="114"/>
      <c r="C262" s="114"/>
      <c r="D262" s="114"/>
      <c r="E262" s="114"/>
      <c r="F262" s="114"/>
      <c r="G262" s="114"/>
      <c r="H262" s="114"/>
      <c r="I262" s="114"/>
    </row>
    <row r="263" spans="1:9">
      <c r="A263" s="114"/>
      <c r="B263" s="114"/>
      <c r="C263" s="114"/>
      <c r="D263" s="114"/>
      <c r="E263" s="114"/>
      <c r="F263" s="114"/>
      <c r="G263" s="114"/>
      <c r="H263" s="114"/>
      <c r="I263" s="114"/>
    </row>
    <row r="264" spans="1:9">
      <c r="A264" s="114"/>
      <c r="B264" s="114"/>
      <c r="C264" s="114"/>
      <c r="D264" s="114"/>
      <c r="E264" s="114"/>
      <c r="F264" s="114"/>
      <c r="G264" s="114"/>
      <c r="H264" s="114"/>
      <c r="I264" s="114"/>
    </row>
    <row r="265" spans="1:9">
      <c r="A265" s="114"/>
      <c r="B265" s="114"/>
      <c r="C265" s="114"/>
      <c r="D265" s="114"/>
      <c r="E265" s="114"/>
      <c r="F265" s="114"/>
      <c r="G265" s="114"/>
      <c r="H265" s="114"/>
      <c r="I265" s="114"/>
    </row>
    <row r="266" spans="1:9">
      <c r="A266" s="114"/>
      <c r="B266" s="114"/>
      <c r="C266" s="114"/>
      <c r="D266" s="114"/>
      <c r="E266" s="114"/>
      <c r="F266" s="114"/>
      <c r="G266" s="114"/>
      <c r="H266" s="114"/>
      <c r="I266" s="114"/>
    </row>
    <row r="267" spans="1:9">
      <c r="A267" s="114"/>
      <c r="B267" s="114"/>
      <c r="C267" s="114"/>
      <c r="D267" s="114"/>
      <c r="E267" s="114"/>
      <c r="F267" s="114"/>
      <c r="G267" s="114"/>
      <c r="H267" s="114"/>
      <c r="I267" s="114"/>
    </row>
    <row r="268" spans="1:9">
      <c r="A268" s="114"/>
      <c r="B268" s="114"/>
      <c r="C268" s="114"/>
      <c r="D268" s="114"/>
      <c r="E268" s="114"/>
      <c r="F268" s="114"/>
      <c r="G268" s="114"/>
      <c r="H268" s="114"/>
      <c r="I268" s="114"/>
    </row>
    <row r="269" spans="1:9">
      <c r="A269" s="114"/>
      <c r="B269" s="114"/>
      <c r="C269" s="114"/>
      <c r="D269" s="114"/>
      <c r="E269" s="114"/>
      <c r="F269" s="114"/>
      <c r="G269" s="114"/>
      <c r="H269" s="114"/>
      <c r="I269" s="114"/>
    </row>
    <row r="270" spans="1:9">
      <c r="A270" s="114"/>
      <c r="B270" s="114"/>
      <c r="C270" s="114"/>
      <c r="D270" s="114"/>
      <c r="E270" s="114"/>
      <c r="F270" s="114"/>
      <c r="G270" s="114"/>
      <c r="H270" s="114"/>
      <c r="I270" s="114"/>
    </row>
    <row r="271" spans="1:9">
      <c r="A271" s="114"/>
      <c r="B271" s="114"/>
      <c r="C271" s="114"/>
      <c r="D271" s="114"/>
      <c r="E271" s="114"/>
      <c r="F271" s="114"/>
      <c r="G271" s="114"/>
      <c r="H271" s="114"/>
      <c r="I271" s="114"/>
    </row>
    <row r="272" spans="1:9">
      <c r="A272" s="114"/>
      <c r="B272" s="114"/>
      <c r="C272" s="114"/>
      <c r="D272" s="114"/>
      <c r="E272" s="114"/>
      <c r="F272" s="114"/>
      <c r="G272" s="114"/>
      <c r="H272" s="114"/>
      <c r="I272" s="114"/>
    </row>
    <row r="273" spans="1:9">
      <c r="A273" s="114"/>
      <c r="B273" s="114"/>
      <c r="C273" s="114"/>
      <c r="D273" s="114"/>
      <c r="E273" s="114"/>
      <c r="F273" s="114"/>
      <c r="G273" s="114"/>
      <c r="H273" s="114"/>
      <c r="I273" s="114"/>
    </row>
    <row r="274" spans="1:9">
      <c r="A274" s="114"/>
      <c r="B274" s="114"/>
      <c r="C274" s="114"/>
      <c r="D274" s="114"/>
      <c r="E274" s="114"/>
      <c r="F274" s="114"/>
      <c r="G274" s="114"/>
      <c r="H274" s="114"/>
      <c r="I274" s="114"/>
    </row>
    <row r="275" spans="1:9">
      <c r="A275" s="114"/>
      <c r="B275" s="114"/>
      <c r="C275" s="114"/>
      <c r="D275" s="114"/>
      <c r="E275" s="114"/>
      <c r="F275" s="114"/>
      <c r="G275" s="114"/>
      <c r="H275" s="114"/>
      <c r="I275" s="114"/>
    </row>
    <row r="276" spans="1:9">
      <c r="A276" s="114"/>
      <c r="B276" s="114"/>
      <c r="C276" s="114"/>
      <c r="D276" s="114"/>
      <c r="E276" s="114"/>
      <c r="F276" s="114"/>
      <c r="G276" s="114"/>
      <c r="H276" s="114"/>
      <c r="I276" s="114"/>
    </row>
    <row r="277" spans="1:9">
      <c r="A277" s="114"/>
      <c r="B277" s="114"/>
      <c r="C277" s="114"/>
      <c r="D277" s="114"/>
      <c r="E277" s="114"/>
      <c r="F277" s="114"/>
      <c r="G277" s="114"/>
      <c r="H277" s="114"/>
      <c r="I277" s="114"/>
    </row>
    <row r="278" spans="1:9">
      <c r="A278" s="114"/>
      <c r="B278" s="114"/>
      <c r="C278" s="114"/>
      <c r="D278" s="114"/>
      <c r="E278" s="114"/>
      <c r="F278" s="114"/>
      <c r="G278" s="114"/>
      <c r="H278" s="114"/>
      <c r="I278" s="114"/>
    </row>
    <row r="279" spans="1:9">
      <c r="A279" s="114"/>
      <c r="B279" s="114"/>
      <c r="C279" s="114"/>
      <c r="D279" s="114"/>
      <c r="E279" s="114"/>
      <c r="F279" s="114"/>
      <c r="G279" s="114"/>
      <c r="H279" s="114"/>
      <c r="I279" s="114"/>
    </row>
    <row r="280" spans="1:9">
      <c r="A280" s="114"/>
      <c r="B280" s="114"/>
      <c r="C280" s="114"/>
      <c r="D280" s="114"/>
      <c r="E280" s="114"/>
      <c r="F280" s="114"/>
      <c r="G280" s="114"/>
      <c r="H280" s="114"/>
      <c r="I280" s="114"/>
    </row>
    <row r="281" spans="1:9">
      <c r="A281" s="114"/>
      <c r="B281" s="114"/>
      <c r="C281" s="114"/>
      <c r="D281" s="114"/>
      <c r="E281" s="114"/>
      <c r="F281" s="114"/>
      <c r="G281" s="114"/>
      <c r="H281" s="114"/>
      <c r="I281" s="114"/>
    </row>
    <row r="282" spans="1:9">
      <c r="A282" s="114"/>
      <c r="B282" s="114"/>
      <c r="C282" s="114"/>
      <c r="D282" s="114"/>
      <c r="E282" s="114"/>
      <c r="F282" s="114"/>
      <c r="G282" s="114"/>
      <c r="H282" s="114"/>
      <c r="I282" s="114"/>
    </row>
    <row r="283" spans="1:9">
      <c r="A283" s="114"/>
      <c r="B283" s="114"/>
      <c r="C283" s="114"/>
      <c r="D283" s="114"/>
      <c r="E283" s="114"/>
      <c r="F283" s="114"/>
      <c r="G283" s="114"/>
      <c r="H283" s="114"/>
      <c r="I283" s="114"/>
    </row>
    <row r="284" spans="1:9">
      <c r="A284" s="114"/>
      <c r="B284" s="114"/>
      <c r="C284" s="114"/>
      <c r="D284" s="114"/>
      <c r="E284" s="114"/>
      <c r="F284" s="114"/>
      <c r="G284" s="114"/>
      <c r="H284" s="114"/>
      <c r="I284" s="114"/>
    </row>
    <row r="285" spans="1:9">
      <c r="A285" s="114"/>
      <c r="B285" s="114"/>
      <c r="C285" s="114"/>
      <c r="D285" s="114"/>
      <c r="E285" s="114"/>
      <c r="F285" s="114"/>
      <c r="G285" s="114"/>
      <c r="H285" s="114"/>
      <c r="I285" s="114"/>
    </row>
    <row r="286" spans="1:9">
      <c r="A286" s="114"/>
      <c r="B286" s="114"/>
      <c r="C286" s="114"/>
      <c r="D286" s="114"/>
      <c r="E286" s="114"/>
      <c r="F286" s="114"/>
      <c r="G286" s="114"/>
      <c r="H286" s="114"/>
      <c r="I286" s="114"/>
    </row>
    <row r="287" spans="1:9">
      <c r="A287" s="114"/>
      <c r="B287" s="114"/>
      <c r="C287" s="114"/>
      <c r="D287" s="114"/>
      <c r="E287" s="114"/>
      <c r="F287" s="114"/>
      <c r="G287" s="114"/>
      <c r="H287" s="114"/>
      <c r="I287" s="114"/>
    </row>
    <row r="288" spans="1:9">
      <c r="A288" s="114"/>
      <c r="B288" s="114"/>
      <c r="C288" s="114"/>
      <c r="D288" s="114"/>
      <c r="E288" s="114"/>
      <c r="F288" s="114"/>
      <c r="G288" s="114"/>
      <c r="H288" s="114"/>
      <c r="I288" s="114"/>
    </row>
    <row r="289" spans="1:9">
      <c r="A289" s="114"/>
      <c r="B289" s="114"/>
      <c r="C289" s="114"/>
      <c r="D289" s="114"/>
      <c r="E289" s="114"/>
      <c r="F289" s="114"/>
      <c r="G289" s="114"/>
      <c r="H289" s="114"/>
      <c r="I289" s="114"/>
    </row>
    <row r="290" spans="1:9">
      <c r="A290" s="114"/>
      <c r="B290" s="114"/>
      <c r="C290" s="114"/>
      <c r="D290" s="114"/>
      <c r="E290" s="114"/>
      <c r="F290" s="114"/>
      <c r="G290" s="114"/>
      <c r="H290" s="114"/>
      <c r="I290" s="114"/>
    </row>
    <row r="291" spans="1:9">
      <c r="A291" s="114"/>
      <c r="B291" s="114"/>
      <c r="C291" s="114"/>
      <c r="D291" s="114"/>
      <c r="E291" s="114"/>
      <c r="F291" s="114"/>
      <c r="G291" s="114"/>
      <c r="H291" s="114"/>
      <c r="I291" s="114"/>
    </row>
    <row r="292" spans="1:9">
      <c r="A292" s="114"/>
      <c r="B292" s="114"/>
      <c r="C292" s="114"/>
      <c r="D292" s="114"/>
      <c r="E292" s="114"/>
      <c r="F292" s="114"/>
      <c r="G292" s="114"/>
      <c r="H292" s="114"/>
      <c r="I292" s="114"/>
    </row>
    <row r="293" spans="1:9">
      <c r="A293" s="114"/>
      <c r="B293" s="114"/>
      <c r="C293" s="114"/>
      <c r="D293" s="114"/>
      <c r="E293" s="114"/>
      <c r="F293" s="114"/>
      <c r="G293" s="114"/>
      <c r="H293" s="114"/>
      <c r="I293" s="114"/>
    </row>
    <row r="294" spans="1:9">
      <c r="A294" s="114"/>
      <c r="B294" s="114"/>
      <c r="C294" s="114"/>
      <c r="D294" s="114"/>
      <c r="E294" s="114"/>
      <c r="F294" s="114"/>
      <c r="G294" s="114"/>
      <c r="H294" s="114"/>
      <c r="I294" s="114"/>
    </row>
    <row r="295" spans="1:9">
      <c r="A295" s="114"/>
      <c r="B295" s="114"/>
      <c r="C295" s="114"/>
      <c r="D295" s="114"/>
      <c r="E295" s="114"/>
      <c r="F295" s="114"/>
      <c r="G295" s="114"/>
      <c r="H295" s="114"/>
      <c r="I295" s="114"/>
    </row>
    <row r="296" spans="1:9">
      <c r="A296" s="114"/>
      <c r="B296" s="114"/>
      <c r="C296" s="114"/>
      <c r="D296" s="114"/>
      <c r="E296" s="114"/>
      <c r="F296" s="114"/>
      <c r="G296" s="114"/>
      <c r="H296" s="114"/>
      <c r="I296" s="114"/>
    </row>
    <row r="297" spans="1:9">
      <c r="A297" s="114"/>
      <c r="B297" s="114"/>
      <c r="C297" s="114"/>
      <c r="D297" s="114"/>
      <c r="E297" s="114"/>
      <c r="F297" s="114"/>
      <c r="G297" s="114"/>
      <c r="H297" s="114"/>
      <c r="I297" s="114"/>
    </row>
    <row r="298" spans="1:9">
      <c r="A298" s="114"/>
      <c r="B298" s="114"/>
      <c r="C298" s="114"/>
      <c r="D298" s="114"/>
      <c r="E298" s="114"/>
      <c r="F298" s="114"/>
      <c r="G298" s="114"/>
      <c r="H298" s="114"/>
      <c r="I298" s="114"/>
    </row>
    <row r="299" spans="1:9">
      <c r="A299" s="114"/>
      <c r="B299" s="114"/>
      <c r="C299" s="114"/>
      <c r="D299" s="114"/>
      <c r="E299" s="114"/>
      <c r="F299" s="114"/>
      <c r="G299" s="114"/>
      <c r="H299" s="114"/>
      <c r="I299" s="114"/>
    </row>
    <row r="300" spans="1:9">
      <c r="A300" s="114"/>
      <c r="B300" s="114"/>
      <c r="C300" s="114"/>
      <c r="D300" s="114"/>
      <c r="E300" s="114"/>
      <c r="F300" s="114"/>
      <c r="G300" s="114"/>
      <c r="H300" s="114"/>
      <c r="I300" s="114"/>
    </row>
    <row r="301" spans="1:9">
      <c r="A301" s="114"/>
      <c r="B301" s="114"/>
      <c r="C301" s="114"/>
      <c r="D301" s="114"/>
      <c r="E301" s="114"/>
      <c r="F301" s="114"/>
      <c r="G301" s="114"/>
      <c r="H301" s="114"/>
      <c r="I301" s="114"/>
    </row>
    <row r="302" spans="1:9">
      <c r="A302" s="114"/>
      <c r="B302" s="114"/>
      <c r="C302" s="114"/>
      <c r="D302" s="114"/>
      <c r="E302" s="114"/>
      <c r="F302" s="114"/>
      <c r="G302" s="114"/>
      <c r="H302" s="114"/>
      <c r="I302" s="114"/>
    </row>
    <row r="303" spans="1:9">
      <c r="A303" s="114"/>
      <c r="B303" s="114"/>
      <c r="C303" s="114"/>
      <c r="D303" s="114"/>
      <c r="E303" s="114"/>
      <c r="F303" s="114"/>
      <c r="G303" s="114"/>
      <c r="H303" s="114"/>
      <c r="I303" s="114"/>
    </row>
    <row r="304" spans="1:9">
      <c r="A304" s="114"/>
      <c r="B304" s="114"/>
      <c r="C304" s="114"/>
      <c r="D304" s="114"/>
      <c r="E304" s="114"/>
      <c r="F304" s="114"/>
      <c r="G304" s="114"/>
      <c r="H304" s="114"/>
      <c r="I304" s="114"/>
    </row>
    <row r="305" spans="1:9">
      <c r="A305" s="114"/>
      <c r="B305" s="114"/>
      <c r="C305" s="114"/>
      <c r="D305" s="114"/>
      <c r="E305" s="114"/>
      <c r="F305" s="114"/>
      <c r="G305" s="114"/>
      <c r="H305" s="114"/>
      <c r="I305" s="114"/>
    </row>
    <row r="306" spans="1:9">
      <c r="A306" s="114"/>
      <c r="B306" s="114"/>
      <c r="C306" s="114"/>
      <c r="D306" s="114"/>
      <c r="E306" s="114"/>
      <c r="F306" s="114"/>
      <c r="G306" s="114"/>
      <c r="H306" s="114"/>
      <c r="I306" s="114"/>
    </row>
    <row r="307" spans="1:9">
      <c r="A307" s="114"/>
      <c r="B307" s="114"/>
      <c r="C307" s="114"/>
      <c r="D307" s="114"/>
      <c r="E307" s="114"/>
      <c r="F307" s="114"/>
      <c r="G307" s="114"/>
      <c r="H307" s="114"/>
      <c r="I307" s="114"/>
    </row>
    <row r="308" spans="1:9">
      <c r="A308" s="114"/>
      <c r="B308" s="114"/>
      <c r="C308" s="114"/>
      <c r="D308" s="114"/>
      <c r="E308" s="114"/>
      <c r="F308" s="114"/>
      <c r="G308" s="114"/>
      <c r="H308" s="114"/>
      <c r="I308" s="114"/>
    </row>
    <row r="309" spans="1:9">
      <c r="A309" s="114"/>
      <c r="B309" s="114"/>
      <c r="C309" s="114"/>
      <c r="D309" s="114"/>
      <c r="E309" s="114"/>
      <c r="F309" s="114"/>
      <c r="G309" s="114"/>
      <c r="H309" s="114"/>
      <c r="I309" s="114"/>
    </row>
    <row r="310" spans="1:9">
      <c r="A310" s="114"/>
      <c r="B310" s="114"/>
      <c r="C310" s="114"/>
      <c r="D310" s="114"/>
      <c r="E310" s="114"/>
      <c r="F310" s="114"/>
      <c r="G310" s="114"/>
      <c r="H310" s="114"/>
      <c r="I310" s="114"/>
    </row>
    <row r="311" spans="1:9">
      <c r="A311" s="114"/>
      <c r="B311" s="114"/>
      <c r="C311" s="114"/>
      <c r="D311" s="114"/>
      <c r="E311" s="114"/>
      <c r="F311" s="114"/>
      <c r="G311" s="114"/>
      <c r="H311" s="114"/>
      <c r="I311" s="114"/>
    </row>
    <row r="312" spans="1:9">
      <c r="A312" s="114"/>
      <c r="B312" s="114"/>
      <c r="C312" s="114"/>
      <c r="D312" s="114"/>
      <c r="E312" s="114"/>
      <c r="F312" s="114"/>
      <c r="G312" s="114"/>
      <c r="H312" s="114"/>
      <c r="I312" s="114"/>
    </row>
    <row r="313" spans="1:9">
      <c r="A313" s="114"/>
      <c r="B313" s="114"/>
      <c r="C313" s="114"/>
      <c r="D313" s="114"/>
      <c r="E313" s="114"/>
      <c r="F313" s="114"/>
      <c r="G313" s="114"/>
      <c r="H313" s="114"/>
      <c r="I313" s="114"/>
    </row>
    <row r="314" spans="1:9">
      <c r="A314" s="114"/>
      <c r="B314" s="114"/>
      <c r="C314" s="114"/>
      <c r="D314" s="114"/>
      <c r="E314" s="114"/>
      <c r="F314" s="114"/>
      <c r="G314" s="114"/>
      <c r="H314" s="114"/>
      <c r="I314" s="114"/>
    </row>
    <row r="315" spans="1:9">
      <c r="A315" s="114"/>
      <c r="B315" s="114"/>
      <c r="C315" s="114"/>
      <c r="D315" s="114"/>
      <c r="E315" s="114"/>
      <c r="F315" s="114"/>
      <c r="G315" s="114"/>
      <c r="H315" s="114"/>
      <c r="I315" s="114"/>
    </row>
    <row r="316" spans="1:9">
      <c r="A316" s="114"/>
      <c r="B316" s="114"/>
      <c r="C316" s="114"/>
      <c r="D316" s="114"/>
      <c r="E316" s="114"/>
      <c r="F316" s="114"/>
      <c r="G316" s="114"/>
      <c r="H316" s="114"/>
      <c r="I316" s="114"/>
    </row>
    <row r="317" spans="1:9">
      <c r="A317" s="114"/>
      <c r="B317" s="114"/>
      <c r="C317" s="114"/>
      <c r="D317" s="114"/>
      <c r="E317" s="114"/>
      <c r="F317" s="114"/>
      <c r="G317" s="114"/>
      <c r="H317" s="114"/>
      <c r="I317" s="114"/>
    </row>
    <row r="318" spans="1:9">
      <c r="A318" s="114"/>
      <c r="B318" s="114"/>
      <c r="C318" s="114"/>
      <c r="D318" s="114"/>
      <c r="E318" s="114"/>
      <c r="F318" s="114"/>
      <c r="G318" s="114"/>
      <c r="H318" s="114"/>
      <c r="I318" s="114"/>
    </row>
    <row r="319" spans="1:9">
      <c r="A319" s="114"/>
      <c r="B319" s="114"/>
      <c r="C319" s="114"/>
      <c r="D319" s="114"/>
      <c r="E319" s="114"/>
      <c r="F319" s="114"/>
      <c r="G319" s="114"/>
      <c r="H319" s="114"/>
      <c r="I319" s="114"/>
    </row>
    <row r="320" spans="1:9">
      <c r="A320" s="114"/>
      <c r="B320" s="114"/>
      <c r="C320" s="114"/>
      <c r="D320" s="114"/>
      <c r="E320" s="114"/>
      <c r="F320" s="114"/>
      <c r="G320" s="114"/>
      <c r="H320" s="114"/>
      <c r="I320" s="114"/>
    </row>
    <row r="321" spans="1:9">
      <c r="A321" s="114"/>
      <c r="B321" s="114"/>
      <c r="C321" s="114"/>
      <c r="D321" s="114"/>
      <c r="E321" s="114"/>
      <c r="F321" s="114"/>
      <c r="G321" s="114"/>
      <c r="H321" s="114"/>
      <c r="I321" s="114"/>
    </row>
    <row r="322" spans="1:9">
      <c r="A322" s="114"/>
      <c r="B322" s="114"/>
      <c r="C322" s="114"/>
      <c r="D322" s="114"/>
      <c r="E322" s="114"/>
      <c r="F322" s="114"/>
      <c r="G322" s="114"/>
      <c r="H322" s="114"/>
      <c r="I322" s="114"/>
    </row>
    <row r="323" spans="1:9">
      <c r="A323" s="114"/>
      <c r="B323" s="114"/>
      <c r="C323" s="114"/>
      <c r="D323" s="114"/>
      <c r="E323" s="114"/>
      <c r="F323" s="114"/>
      <c r="G323" s="114"/>
      <c r="H323" s="114"/>
      <c r="I323" s="114"/>
    </row>
    <row r="324" spans="1:9">
      <c r="A324" s="114"/>
      <c r="B324" s="114"/>
      <c r="C324" s="114"/>
      <c r="D324" s="114"/>
      <c r="E324" s="114"/>
      <c r="F324" s="114"/>
      <c r="G324" s="114"/>
      <c r="H324" s="114"/>
      <c r="I324" s="114"/>
    </row>
    <row r="325" spans="1:9">
      <c r="A325" s="114"/>
      <c r="B325" s="114"/>
      <c r="C325" s="114"/>
      <c r="D325" s="114"/>
      <c r="E325" s="114"/>
      <c r="F325" s="114"/>
      <c r="G325" s="114"/>
      <c r="H325" s="114"/>
      <c r="I325" s="114"/>
    </row>
    <row r="326" spans="1:9">
      <c r="A326" s="114"/>
      <c r="B326" s="114"/>
      <c r="C326" s="114"/>
      <c r="D326" s="114"/>
      <c r="E326" s="114"/>
      <c r="F326" s="114"/>
      <c r="G326" s="114"/>
      <c r="H326" s="114"/>
      <c r="I326" s="114"/>
    </row>
    <row r="327" spans="1:9">
      <c r="A327" s="114"/>
      <c r="B327" s="114"/>
      <c r="C327" s="114"/>
      <c r="D327" s="114"/>
      <c r="E327" s="114"/>
      <c r="F327" s="114"/>
      <c r="G327" s="114"/>
      <c r="H327" s="114"/>
      <c r="I327" s="114"/>
    </row>
    <row r="328" spans="1:9">
      <c r="A328" s="114"/>
      <c r="B328" s="114"/>
      <c r="C328" s="114"/>
      <c r="D328" s="114"/>
      <c r="E328" s="114"/>
      <c r="F328" s="114"/>
      <c r="G328" s="114"/>
      <c r="H328" s="114"/>
      <c r="I328" s="114"/>
    </row>
    <row r="329" spans="1:9">
      <c r="A329" s="114"/>
      <c r="B329" s="114"/>
      <c r="C329" s="114"/>
      <c r="D329" s="114"/>
      <c r="E329" s="114"/>
      <c r="F329" s="114"/>
      <c r="G329" s="114"/>
      <c r="H329" s="114"/>
      <c r="I329" s="114"/>
    </row>
    <row r="330" spans="1:9">
      <c r="A330" s="114"/>
      <c r="B330" s="114"/>
      <c r="C330" s="114"/>
      <c r="D330" s="114"/>
      <c r="E330" s="114"/>
      <c r="F330" s="114"/>
      <c r="G330" s="114"/>
      <c r="H330" s="114"/>
      <c r="I330" s="114"/>
    </row>
    <row r="331" spans="1:9">
      <c r="A331" s="114"/>
      <c r="B331" s="114"/>
      <c r="C331" s="114"/>
      <c r="D331" s="114"/>
      <c r="E331" s="114"/>
      <c r="F331" s="114"/>
      <c r="G331" s="114"/>
      <c r="H331" s="114"/>
      <c r="I331" s="114"/>
    </row>
    <row r="332" spans="1:9">
      <c r="A332" s="114"/>
      <c r="B332" s="114"/>
      <c r="C332" s="114"/>
      <c r="D332" s="114"/>
      <c r="E332" s="114"/>
      <c r="F332" s="114"/>
      <c r="G332" s="114"/>
      <c r="H332" s="114"/>
      <c r="I332" s="114"/>
    </row>
    <row r="333" spans="1:9">
      <c r="A333" s="114"/>
      <c r="B333" s="114"/>
      <c r="C333" s="114"/>
      <c r="D333" s="114"/>
      <c r="E333" s="114"/>
      <c r="F333" s="114"/>
      <c r="G333" s="114"/>
      <c r="H333" s="114"/>
      <c r="I333" s="114"/>
    </row>
    <row r="334" spans="1:9">
      <c r="A334" s="114"/>
      <c r="B334" s="114"/>
      <c r="C334" s="114"/>
      <c r="D334" s="114"/>
      <c r="E334" s="114"/>
      <c r="F334" s="114"/>
      <c r="G334" s="114"/>
      <c r="H334" s="114"/>
      <c r="I334" s="114"/>
    </row>
    <row r="335" spans="1:9">
      <c r="A335" s="114"/>
      <c r="B335" s="114"/>
      <c r="C335" s="114"/>
      <c r="D335" s="114"/>
      <c r="E335" s="114"/>
      <c r="F335" s="114"/>
      <c r="G335" s="114"/>
      <c r="H335" s="114"/>
      <c r="I335" s="114"/>
    </row>
    <row r="336" spans="1:9">
      <c r="A336" s="114"/>
      <c r="B336" s="114"/>
      <c r="C336" s="114"/>
      <c r="D336" s="114"/>
      <c r="E336" s="114"/>
      <c r="F336" s="114"/>
      <c r="G336" s="114"/>
      <c r="H336" s="114"/>
      <c r="I336" s="114"/>
    </row>
    <row r="337" spans="1:9">
      <c r="A337" s="114"/>
      <c r="B337" s="114"/>
      <c r="C337" s="114"/>
      <c r="D337" s="114"/>
      <c r="E337" s="114"/>
      <c r="F337" s="114"/>
      <c r="G337" s="114"/>
      <c r="H337" s="114"/>
      <c r="I337" s="114"/>
    </row>
    <row r="338" spans="1:9">
      <c r="A338" s="114"/>
      <c r="B338" s="114"/>
      <c r="C338" s="114"/>
      <c r="D338" s="114"/>
      <c r="E338" s="114"/>
      <c r="F338" s="114"/>
      <c r="G338" s="114"/>
      <c r="H338" s="114"/>
      <c r="I338" s="114"/>
    </row>
    <row r="339" spans="1:9">
      <c r="A339" s="114"/>
      <c r="B339" s="114"/>
      <c r="C339" s="114"/>
      <c r="D339" s="114"/>
      <c r="E339" s="114"/>
      <c r="F339" s="114"/>
      <c r="G339" s="114"/>
      <c r="H339" s="114"/>
      <c r="I339" s="114"/>
    </row>
    <row r="340" spans="1:9">
      <c r="A340" s="114"/>
      <c r="B340" s="114"/>
      <c r="C340" s="114"/>
      <c r="D340" s="114"/>
      <c r="E340" s="114"/>
      <c r="F340" s="114"/>
      <c r="G340" s="114"/>
      <c r="H340" s="114"/>
      <c r="I340" s="114"/>
    </row>
    <row r="341" spans="1:9">
      <c r="A341" s="114"/>
      <c r="B341" s="114"/>
      <c r="C341" s="114"/>
      <c r="D341" s="114"/>
      <c r="E341" s="114"/>
      <c r="F341" s="114"/>
      <c r="G341" s="114"/>
      <c r="H341" s="114"/>
      <c r="I341" s="114"/>
    </row>
    <row r="342" spans="1:9">
      <c r="A342" s="114"/>
      <c r="B342" s="114"/>
      <c r="C342" s="114"/>
      <c r="D342" s="114"/>
      <c r="E342" s="114"/>
      <c r="F342" s="114"/>
      <c r="G342" s="114"/>
      <c r="H342" s="114"/>
      <c r="I342" s="114"/>
    </row>
    <row r="343" spans="1:9">
      <c r="A343" s="114"/>
      <c r="B343" s="114"/>
      <c r="C343" s="114"/>
      <c r="D343" s="114"/>
      <c r="E343" s="114"/>
      <c r="F343" s="114"/>
      <c r="G343" s="114"/>
      <c r="H343" s="114"/>
      <c r="I343" s="114"/>
    </row>
    <row r="344" spans="1:9">
      <c r="A344" s="114"/>
      <c r="B344" s="114"/>
      <c r="C344" s="114"/>
      <c r="D344" s="114"/>
      <c r="E344" s="114"/>
      <c r="F344" s="114"/>
      <c r="G344" s="114"/>
      <c r="H344" s="114"/>
      <c r="I344" s="114"/>
    </row>
    <row r="345" spans="1:9">
      <c r="A345" s="114"/>
      <c r="B345" s="114"/>
      <c r="C345" s="114"/>
      <c r="D345" s="114"/>
      <c r="E345" s="114"/>
      <c r="F345" s="114"/>
      <c r="G345" s="114"/>
      <c r="H345" s="114"/>
      <c r="I345" s="114"/>
    </row>
    <row r="346" spans="1:9">
      <c r="A346" s="114"/>
      <c r="B346" s="114"/>
      <c r="C346" s="114"/>
      <c r="D346" s="114"/>
      <c r="E346" s="114"/>
      <c r="F346" s="114"/>
      <c r="G346" s="114"/>
      <c r="H346" s="114"/>
      <c r="I346" s="114"/>
    </row>
    <row r="347" spans="1:9">
      <c r="A347" s="114"/>
      <c r="B347" s="114"/>
      <c r="C347" s="114"/>
      <c r="D347" s="114"/>
      <c r="E347" s="114"/>
      <c r="F347" s="114"/>
      <c r="G347" s="114"/>
      <c r="H347" s="114"/>
      <c r="I347" s="114"/>
    </row>
    <row r="348" spans="1:9">
      <c r="A348" s="114"/>
      <c r="B348" s="114"/>
      <c r="C348" s="114"/>
      <c r="D348" s="114"/>
      <c r="E348" s="114"/>
      <c r="F348" s="114"/>
      <c r="G348" s="114"/>
      <c r="H348" s="114"/>
      <c r="I348" s="114"/>
    </row>
    <row r="349" spans="1:9">
      <c r="A349" s="114"/>
      <c r="B349" s="114"/>
      <c r="C349" s="114"/>
      <c r="D349" s="114"/>
      <c r="E349" s="114"/>
      <c r="F349" s="114"/>
      <c r="G349" s="114"/>
      <c r="H349" s="114"/>
      <c r="I349" s="114"/>
    </row>
    <row r="350" spans="1:9">
      <c r="A350" s="114"/>
      <c r="B350" s="114"/>
      <c r="C350" s="114"/>
      <c r="D350" s="114"/>
      <c r="E350" s="114"/>
      <c r="F350" s="114"/>
      <c r="G350" s="114"/>
      <c r="H350" s="114"/>
      <c r="I350" s="114"/>
    </row>
    <row r="351" spans="1:9">
      <c r="A351" s="114"/>
      <c r="B351" s="114"/>
      <c r="C351" s="114"/>
      <c r="D351" s="114"/>
      <c r="E351" s="114"/>
      <c r="F351" s="114"/>
      <c r="G351" s="114"/>
      <c r="H351" s="114"/>
      <c r="I351" s="114"/>
    </row>
    <row r="352" spans="1:9">
      <c r="A352" s="114"/>
      <c r="B352" s="114"/>
      <c r="C352" s="114"/>
      <c r="D352" s="114"/>
      <c r="E352" s="114"/>
      <c r="F352" s="114"/>
      <c r="G352" s="114"/>
      <c r="H352" s="114"/>
      <c r="I352" s="114"/>
    </row>
    <row r="353" spans="1:9">
      <c r="A353" s="114"/>
      <c r="B353" s="114"/>
      <c r="C353" s="114"/>
      <c r="D353" s="114"/>
      <c r="E353" s="114"/>
      <c r="F353" s="114"/>
      <c r="G353" s="114"/>
      <c r="H353" s="114"/>
      <c r="I353" s="114"/>
    </row>
    <row r="354" spans="1:9">
      <c r="A354" s="114"/>
      <c r="B354" s="114"/>
      <c r="C354" s="114"/>
      <c r="D354" s="114"/>
      <c r="E354" s="114"/>
      <c r="F354" s="114"/>
      <c r="G354" s="114"/>
      <c r="H354" s="114"/>
      <c r="I354" s="114"/>
    </row>
    <row r="355" spans="1:9">
      <c r="A355" s="114"/>
      <c r="B355" s="114"/>
      <c r="C355" s="114"/>
      <c r="D355" s="114"/>
      <c r="E355" s="114"/>
      <c r="F355" s="114"/>
      <c r="G355" s="114"/>
      <c r="H355" s="114"/>
      <c r="I355" s="114"/>
    </row>
    <row r="356" spans="1:9">
      <c r="A356" s="114"/>
      <c r="B356" s="114"/>
      <c r="C356" s="114"/>
      <c r="D356" s="114"/>
      <c r="E356" s="114"/>
      <c r="F356" s="114"/>
      <c r="G356" s="114"/>
      <c r="H356" s="114"/>
      <c r="I356" s="114"/>
    </row>
    <row r="357" spans="1:9">
      <c r="A357" s="114"/>
      <c r="B357" s="114"/>
      <c r="C357" s="114"/>
      <c r="D357" s="114"/>
      <c r="E357" s="114"/>
      <c r="F357" s="114"/>
      <c r="G357" s="114"/>
      <c r="H357" s="114"/>
      <c r="I357" s="114"/>
    </row>
    <row r="358" spans="1:9">
      <c r="A358" s="114"/>
      <c r="B358" s="114"/>
      <c r="C358" s="114"/>
      <c r="D358" s="114"/>
      <c r="E358" s="114"/>
      <c r="F358" s="114"/>
      <c r="G358" s="114"/>
      <c r="H358" s="114"/>
      <c r="I358" s="114"/>
    </row>
    <row r="359" spans="1:9">
      <c r="A359" s="114"/>
      <c r="B359" s="114"/>
      <c r="C359" s="114"/>
      <c r="D359" s="114"/>
      <c r="E359" s="114"/>
      <c r="F359" s="114"/>
      <c r="G359" s="114"/>
      <c r="H359" s="114"/>
      <c r="I359" s="114"/>
    </row>
    <row r="360" spans="1:9">
      <c r="A360" s="114"/>
      <c r="B360" s="114"/>
      <c r="C360" s="114"/>
      <c r="D360" s="114"/>
      <c r="E360" s="114"/>
      <c r="F360" s="114"/>
      <c r="G360" s="114"/>
      <c r="H360" s="114"/>
      <c r="I360" s="114"/>
    </row>
    <row r="361" spans="1:9">
      <c r="A361" s="114"/>
      <c r="B361" s="114"/>
      <c r="C361" s="114"/>
      <c r="D361" s="114"/>
      <c r="E361" s="114"/>
      <c r="F361" s="114"/>
      <c r="G361" s="114"/>
      <c r="H361" s="114"/>
      <c r="I361" s="114"/>
    </row>
    <row r="362" spans="1:9">
      <c r="A362" s="114"/>
      <c r="B362" s="114"/>
      <c r="C362" s="114"/>
      <c r="D362" s="114"/>
      <c r="E362" s="114"/>
      <c r="F362" s="114"/>
      <c r="G362" s="114"/>
      <c r="H362" s="114"/>
      <c r="I362" s="114"/>
    </row>
    <row r="363" spans="1:9">
      <c r="A363" s="114"/>
      <c r="B363" s="114"/>
      <c r="C363" s="114"/>
      <c r="D363" s="114"/>
      <c r="E363" s="114"/>
      <c r="F363" s="114"/>
      <c r="G363" s="114"/>
      <c r="H363" s="114"/>
      <c r="I363" s="114"/>
    </row>
    <row r="364" spans="1:9">
      <c r="A364" s="114"/>
      <c r="B364" s="114"/>
      <c r="C364" s="114"/>
      <c r="D364" s="114"/>
      <c r="E364" s="114"/>
      <c r="F364" s="114"/>
      <c r="G364" s="114"/>
      <c r="H364" s="114"/>
      <c r="I364" s="114"/>
    </row>
    <row r="365" spans="1:9">
      <c r="A365" s="114"/>
      <c r="B365" s="114"/>
      <c r="C365" s="114"/>
      <c r="D365" s="114"/>
      <c r="E365" s="114"/>
      <c r="F365" s="114"/>
      <c r="G365" s="114"/>
      <c r="H365" s="114"/>
      <c r="I365" s="114"/>
    </row>
    <row r="366" spans="1:9">
      <c r="A366" s="114"/>
      <c r="B366" s="114"/>
      <c r="C366" s="114"/>
      <c r="D366" s="114"/>
      <c r="E366" s="114"/>
      <c r="F366" s="114"/>
      <c r="G366" s="114"/>
      <c r="H366" s="114"/>
      <c r="I366" s="114"/>
    </row>
    <row r="367" spans="1:9">
      <c r="A367" s="114"/>
      <c r="B367" s="114"/>
      <c r="C367" s="114"/>
      <c r="D367" s="114"/>
      <c r="E367" s="114"/>
      <c r="F367" s="114"/>
      <c r="G367" s="114"/>
      <c r="H367" s="114"/>
      <c r="I367" s="114"/>
    </row>
    <row r="368" spans="1:9">
      <c r="A368" s="114"/>
      <c r="B368" s="114"/>
      <c r="C368" s="114"/>
      <c r="D368" s="114"/>
      <c r="E368" s="114"/>
      <c r="F368" s="114"/>
      <c r="G368" s="114"/>
      <c r="H368" s="114"/>
      <c r="I368" s="114"/>
    </row>
    <row r="369" spans="1:9">
      <c r="A369" s="114"/>
      <c r="B369" s="114"/>
      <c r="C369" s="114"/>
      <c r="D369" s="114"/>
      <c r="E369" s="114"/>
      <c r="F369" s="114"/>
      <c r="G369" s="114"/>
      <c r="H369" s="114"/>
      <c r="I369" s="114"/>
    </row>
    <row r="370" spans="1:9">
      <c r="A370" s="114"/>
      <c r="B370" s="114"/>
      <c r="C370" s="114"/>
      <c r="D370" s="114"/>
      <c r="E370" s="114"/>
      <c r="F370" s="114"/>
      <c r="G370" s="114"/>
      <c r="H370" s="114"/>
      <c r="I370" s="114"/>
    </row>
    <row r="371" spans="1:9">
      <c r="A371" s="114"/>
      <c r="B371" s="114"/>
      <c r="C371" s="114"/>
      <c r="D371" s="114"/>
      <c r="E371" s="114"/>
      <c r="F371" s="114"/>
      <c r="G371" s="114"/>
      <c r="H371" s="114"/>
      <c r="I371" s="114"/>
    </row>
    <row r="372" spans="1:9">
      <c r="A372" s="114"/>
      <c r="B372" s="114"/>
      <c r="C372" s="114"/>
      <c r="D372" s="114"/>
      <c r="E372" s="114"/>
      <c r="F372" s="114"/>
      <c r="G372" s="114"/>
      <c r="H372" s="114"/>
      <c r="I372" s="114"/>
    </row>
    <row r="373" spans="1:9">
      <c r="A373" s="114"/>
      <c r="B373" s="114"/>
      <c r="C373" s="114"/>
      <c r="D373" s="114"/>
      <c r="E373" s="114"/>
      <c r="F373" s="114"/>
      <c r="G373" s="114"/>
      <c r="H373" s="114"/>
      <c r="I373" s="114"/>
    </row>
    <row r="374" spans="1:9">
      <c r="A374" s="114"/>
      <c r="B374" s="114"/>
      <c r="C374" s="114"/>
      <c r="D374" s="114"/>
      <c r="E374" s="114"/>
      <c r="F374" s="114"/>
      <c r="G374" s="114"/>
      <c r="H374" s="114"/>
      <c r="I374" s="114"/>
    </row>
    <row r="375" spans="1:9">
      <c r="A375" s="114"/>
      <c r="B375" s="114"/>
      <c r="C375" s="114"/>
      <c r="D375" s="114"/>
      <c r="E375" s="114"/>
      <c r="F375" s="114"/>
      <c r="G375" s="114"/>
      <c r="H375" s="114"/>
      <c r="I375" s="114"/>
    </row>
    <row r="376" spans="1:9">
      <c r="A376" s="114"/>
      <c r="B376" s="114"/>
      <c r="C376" s="114"/>
      <c r="D376" s="114"/>
      <c r="E376" s="114"/>
      <c r="F376" s="114"/>
      <c r="G376" s="114"/>
      <c r="H376" s="114"/>
      <c r="I376" s="114"/>
    </row>
    <row r="377" spans="1:9">
      <c r="A377" s="114"/>
      <c r="B377" s="114"/>
      <c r="C377" s="114"/>
      <c r="D377" s="114"/>
      <c r="E377" s="114"/>
      <c r="F377" s="114"/>
      <c r="G377" s="114"/>
      <c r="H377" s="114"/>
      <c r="I377" s="114"/>
    </row>
    <row r="378" spans="1:9">
      <c r="A378" s="114"/>
      <c r="B378" s="114"/>
      <c r="C378" s="114"/>
      <c r="D378" s="114"/>
      <c r="E378" s="114"/>
      <c r="F378" s="114"/>
      <c r="G378" s="114"/>
      <c r="H378" s="114"/>
      <c r="I378" s="114"/>
    </row>
    <row r="379" spans="1:9">
      <c r="A379" s="114"/>
      <c r="B379" s="114"/>
      <c r="C379" s="114"/>
      <c r="D379" s="114"/>
      <c r="E379" s="114"/>
      <c r="F379" s="114"/>
      <c r="G379" s="114"/>
      <c r="H379" s="114"/>
      <c r="I379" s="114"/>
    </row>
    <row r="380" spans="1:9">
      <c r="A380" s="114"/>
      <c r="B380" s="114"/>
      <c r="C380" s="114"/>
      <c r="D380" s="114"/>
      <c r="E380" s="114"/>
      <c r="F380" s="114"/>
      <c r="G380" s="114"/>
      <c r="H380" s="114"/>
      <c r="I380" s="114"/>
    </row>
    <row r="381" spans="1:9">
      <c r="A381" s="114"/>
      <c r="B381" s="114"/>
      <c r="C381" s="114"/>
      <c r="D381" s="114"/>
      <c r="E381" s="114"/>
      <c r="F381" s="114"/>
      <c r="G381" s="114"/>
      <c r="H381" s="114"/>
      <c r="I381" s="114"/>
    </row>
    <row r="382" spans="1:9">
      <c r="A382" s="114"/>
      <c r="B382" s="114"/>
      <c r="C382" s="114"/>
      <c r="D382" s="114"/>
      <c r="E382" s="114"/>
      <c r="F382" s="114"/>
      <c r="G382" s="114"/>
      <c r="H382" s="114"/>
      <c r="I382" s="114"/>
    </row>
    <row r="383" spans="1:9">
      <c r="A383" s="114"/>
      <c r="B383" s="114"/>
      <c r="C383" s="114"/>
      <c r="D383" s="114"/>
      <c r="E383" s="114"/>
      <c r="F383" s="114"/>
      <c r="G383" s="114"/>
      <c r="H383" s="114"/>
      <c r="I383" s="114"/>
    </row>
    <row r="384" spans="1:9">
      <c r="A384" s="114"/>
      <c r="B384" s="114"/>
      <c r="C384" s="114"/>
      <c r="D384" s="114"/>
      <c r="E384" s="114"/>
      <c r="F384" s="114"/>
      <c r="G384" s="114"/>
      <c r="H384" s="114"/>
      <c r="I384" s="114"/>
    </row>
    <row r="385" spans="1:9">
      <c r="A385" s="114"/>
      <c r="B385" s="114"/>
      <c r="C385" s="114"/>
      <c r="D385" s="114"/>
      <c r="E385" s="114"/>
      <c r="F385" s="114"/>
      <c r="G385" s="114"/>
      <c r="H385" s="114"/>
      <c r="I385" s="114"/>
    </row>
    <row r="386" spans="1:9">
      <c r="A386" s="114"/>
      <c r="B386" s="114"/>
      <c r="C386" s="114"/>
      <c r="D386" s="114"/>
      <c r="E386" s="114"/>
      <c r="F386" s="114"/>
      <c r="G386" s="114"/>
      <c r="H386" s="114"/>
      <c r="I386" s="114"/>
    </row>
    <row r="387" spans="1:9">
      <c r="A387" s="114"/>
      <c r="B387" s="114"/>
      <c r="C387" s="114"/>
      <c r="D387" s="114"/>
      <c r="E387" s="114"/>
      <c r="F387" s="114"/>
      <c r="G387" s="114"/>
      <c r="H387" s="114"/>
      <c r="I387" s="114"/>
    </row>
    <row r="388" spans="1:9">
      <c r="A388" s="114"/>
      <c r="B388" s="114"/>
      <c r="C388" s="114"/>
      <c r="D388" s="114"/>
      <c r="E388" s="114"/>
      <c r="F388" s="114"/>
      <c r="G388" s="114"/>
      <c r="H388" s="114"/>
      <c r="I388" s="114"/>
    </row>
  </sheetData>
  <sheetProtection sheet="1" objects="1" scenarios="1" selectLockedCells="1"/>
  <mergeCells count="374">
    <mergeCell ref="A383:I383"/>
    <mergeCell ref="A384:I384"/>
    <mergeCell ref="A385:I385"/>
    <mergeCell ref="A386:I386"/>
    <mergeCell ref="A387:I387"/>
    <mergeCell ref="A388:I388"/>
    <mergeCell ref="A377:I377"/>
    <mergeCell ref="A378:I378"/>
    <mergeCell ref="A379:I379"/>
    <mergeCell ref="A380:I380"/>
    <mergeCell ref="A381:I381"/>
    <mergeCell ref="A382:I382"/>
    <mergeCell ref="A371:I371"/>
    <mergeCell ref="A372:I372"/>
    <mergeCell ref="A373:I373"/>
    <mergeCell ref="A374:I374"/>
    <mergeCell ref="A375:I375"/>
    <mergeCell ref="A376:I376"/>
    <mergeCell ref="A365:I365"/>
    <mergeCell ref="A366:I366"/>
    <mergeCell ref="A367:I367"/>
    <mergeCell ref="A368:I368"/>
    <mergeCell ref="A369:I369"/>
    <mergeCell ref="A370:I370"/>
    <mergeCell ref="A359:I359"/>
    <mergeCell ref="A360:I360"/>
    <mergeCell ref="A361:I361"/>
    <mergeCell ref="A362:I362"/>
    <mergeCell ref="A363:I363"/>
    <mergeCell ref="A364:I364"/>
    <mergeCell ref="A353:I353"/>
    <mergeCell ref="A354:I354"/>
    <mergeCell ref="A355:I355"/>
    <mergeCell ref="A356:I356"/>
    <mergeCell ref="A357:I357"/>
    <mergeCell ref="A358:I358"/>
    <mergeCell ref="A347:I347"/>
    <mergeCell ref="A348:I348"/>
    <mergeCell ref="A349:I349"/>
    <mergeCell ref="A350:I350"/>
    <mergeCell ref="A351:I351"/>
    <mergeCell ref="A352:I352"/>
    <mergeCell ref="A341:I341"/>
    <mergeCell ref="A342:I342"/>
    <mergeCell ref="A343:I343"/>
    <mergeCell ref="A344:I344"/>
    <mergeCell ref="A345:I345"/>
    <mergeCell ref="A346:I346"/>
    <mergeCell ref="A335:I335"/>
    <mergeCell ref="A336:I336"/>
    <mergeCell ref="A337:I337"/>
    <mergeCell ref="A338:I338"/>
    <mergeCell ref="A339:I339"/>
    <mergeCell ref="A340:I340"/>
    <mergeCell ref="A329:I329"/>
    <mergeCell ref="A330:I330"/>
    <mergeCell ref="A331:I331"/>
    <mergeCell ref="A332:I332"/>
    <mergeCell ref="A333:I333"/>
    <mergeCell ref="A334:I334"/>
    <mergeCell ref="A323:I323"/>
    <mergeCell ref="A324:I324"/>
    <mergeCell ref="A325:I325"/>
    <mergeCell ref="A326:I326"/>
    <mergeCell ref="A327:I327"/>
    <mergeCell ref="A328:I328"/>
    <mergeCell ref="A317:I317"/>
    <mergeCell ref="A318:I318"/>
    <mergeCell ref="A319:I319"/>
    <mergeCell ref="A320:I320"/>
    <mergeCell ref="A321:I321"/>
    <mergeCell ref="A322:I322"/>
    <mergeCell ref="A311:I311"/>
    <mergeCell ref="A312:I312"/>
    <mergeCell ref="A313:I313"/>
    <mergeCell ref="A314:I314"/>
    <mergeCell ref="A315:I315"/>
    <mergeCell ref="A316:I316"/>
    <mergeCell ref="A305:I305"/>
    <mergeCell ref="A306:I306"/>
    <mergeCell ref="A307:I307"/>
    <mergeCell ref="A308:I308"/>
    <mergeCell ref="A309:I309"/>
    <mergeCell ref="A310:I310"/>
    <mergeCell ref="A299:I299"/>
    <mergeCell ref="A300:I300"/>
    <mergeCell ref="A301:I301"/>
    <mergeCell ref="A302:I302"/>
    <mergeCell ref="A303:I303"/>
    <mergeCell ref="A304:I304"/>
    <mergeCell ref="A293:I293"/>
    <mergeCell ref="A294:I294"/>
    <mergeCell ref="A295:I295"/>
    <mergeCell ref="A296:I296"/>
    <mergeCell ref="A297:I297"/>
    <mergeCell ref="A298:I298"/>
    <mergeCell ref="A287:I287"/>
    <mergeCell ref="A288:I288"/>
    <mergeCell ref="A289:I289"/>
    <mergeCell ref="A290:I290"/>
    <mergeCell ref="A291:I291"/>
    <mergeCell ref="A292:I292"/>
    <mergeCell ref="A281:I281"/>
    <mergeCell ref="A282:I282"/>
    <mergeCell ref="A283:I283"/>
    <mergeCell ref="A284:I284"/>
    <mergeCell ref="A285:I285"/>
    <mergeCell ref="A286:I286"/>
    <mergeCell ref="A275:I275"/>
    <mergeCell ref="A276:I276"/>
    <mergeCell ref="A277:I277"/>
    <mergeCell ref="A278:I278"/>
    <mergeCell ref="A279:I279"/>
    <mergeCell ref="A280:I280"/>
    <mergeCell ref="A269:I269"/>
    <mergeCell ref="A270:I270"/>
    <mergeCell ref="A271:I271"/>
    <mergeCell ref="A272:I272"/>
    <mergeCell ref="A273:I273"/>
    <mergeCell ref="A274:I274"/>
    <mergeCell ref="A263:I263"/>
    <mergeCell ref="A264:I264"/>
    <mergeCell ref="A265:I265"/>
    <mergeCell ref="A266:I266"/>
    <mergeCell ref="A267:I267"/>
    <mergeCell ref="A268:I268"/>
    <mergeCell ref="A257:I257"/>
    <mergeCell ref="A258:I258"/>
    <mergeCell ref="A259:I259"/>
    <mergeCell ref="A260:I260"/>
    <mergeCell ref="A261:I261"/>
    <mergeCell ref="A262:I262"/>
    <mergeCell ref="A251:I251"/>
    <mergeCell ref="A252:I252"/>
    <mergeCell ref="A253:I253"/>
    <mergeCell ref="A254:I254"/>
    <mergeCell ref="A255:I255"/>
    <mergeCell ref="A256:I256"/>
    <mergeCell ref="A245:I245"/>
    <mergeCell ref="A246:I246"/>
    <mergeCell ref="A247:I247"/>
    <mergeCell ref="A248:I248"/>
    <mergeCell ref="A249:I249"/>
    <mergeCell ref="A250:I250"/>
    <mergeCell ref="A239:I239"/>
    <mergeCell ref="A240:I240"/>
    <mergeCell ref="A241:I241"/>
    <mergeCell ref="A242:I242"/>
    <mergeCell ref="A243:I243"/>
    <mergeCell ref="A244:I244"/>
    <mergeCell ref="A233:I233"/>
    <mergeCell ref="A234:I234"/>
    <mergeCell ref="A235:I235"/>
    <mergeCell ref="A236:I236"/>
    <mergeCell ref="A237:I237"/>
    <mergeCell ref="A238:I238"/>
    <mergeCell ref="A227:I227"/>
    <mergeCell ref="A228:I228"/>
    <mergeCell ref="A229:I229"/>
    <mergeCell ref="A230:I230"/>
    <mergeCell ref="A231:I231"/>
    <mergeCell ref="A232:I232"/>
    <mergeCell ref="A221:I221"/>
    <mergeCell ref="A222:I222"/>
    <mergeCell ref="A223:I223"/>
    <mergeCell ref="A224:I224"/>
    <mergeCell ref="A225:I225"/>
    <mergeCell ref="A226:I226"/>
    <mergeCell ref="A215:I215"/>
    <mergeCell ref="A216:I216"/>
    <mergeCell ref="A217:I217"/>
    <mergeCell ref="A218:I218"/>
    <mergeCell ref="A219:I219"/>
    <mergeCell ref="A220:I220"/>
    <mergeCell ref="A209:I209"/>
    <mergeCell ref="A210:I210"/>
    <mergeCell ref="A211:I211"/>
    <mergeCell ref="A212:I212"/>
    <mergeCell ref="A213:I213"/>
    <mergeCell ref="A214:I214"/>
    <mergeCell ref="A203:I203"/>
    <mergeCell ref="A204:I204"/>
    <mergeCell ref="A205:I205"/>
    <mergeCell ref="A206:I206"/>
    <mergeCell ref="A207:I207"/>
    <mergeCell ref="A208:I208"/>
    <mergeCell ref="A197:I197"/>
    <mergeCell ref="A198:I198"/>
    <mergeCell ref="A199:I199"/>
    <mergeCell ref="A200:I200"/>
    <mergeCell ref="A201:I201"/>
    <mergeCell ref="A202:I202"/>
    <mergeCell ref="A191:I191"/>
    <mergeCell ref="A192:I192"/>
    <mergeCell ref="A193:I193"/>
    <mergeCell ref="A194:I194"/>
    <mergeCell ref="A195:I195"/>
    <mergeCell ref="A196:I196"/>
    <mergeCell ref="A185:I185"/>
    <mergeCell ref="A186:I186"/>
    <mergeCell ref="A187:I187"/>
    <mergeCell ref="A188:I188"/>
    <mergeCell ref="A189:I189"/>
    <mergeCell ref="A190:I190"/>
    <mergeCell ref="A179:I179"/>
    <mergeCell ref="A180:I180"/>
    <mergeCell ref="A181:I181"/>
    <mergeCell ref="A182:I182"/>
    <mergeCell ref="A183:I183"/>
    <mergeCell ref="A184:I184"/>
    <mergeCell ref="A173:I173"/>
    <mergeCell ref="A174:I174"/>
    <mergeCell ref="A175:I175"/>
    <mergeCell ref="A176:I176"/>
    <mergeCell ref="A177:I177"/>
    <mergeCell ref="A178:I178"/>
    <mergeCell ref="A167:I167"/>
    <mergeCell ref="A168:I168"/>
    <mergeCell ref="A169:I169"/>
    <mergeCell ref="A170:I170"/>
    <mergeCell ref="A171:I171"/>
    <mergeCell ref="A172:I172"/>
    <mergeCell ref="A161:I161"/>
    <mergeCell ref="A162:I162"/>
    <mergeCell ref="A163:I163"/>
    <mergeCell ref="A164:I164"/>
    <mergeCell ref="A165:I165"/>
    <mergeCell ref="A166:I166"/>
    <mergeCell ref="A155:I155"/>
    <mergeCell ref="A156:I156"/>
    <mergeCell ref="A157:I157"/>
    <mergeCell ref="A158:I158"/>
    <mergeCell ref="A159:I159"/>
    <mergeCell ref="A160:I160"/>
    <mergeCell ref="A149:I149"/>
    <mergeCell ref="A150:I150"/>
    <mergeCell ref="A151:I151"/>
    <mergeCell ref="A152:I152"/>
    <mergeCell ref="A153:I153"/>
    <mergeCell ref="A154:I154"/>
    <mergeCell ref="A143:I143"/>
    <mergeCell ref="A144:I144"/>
    <mergeCell ref="A145:I145"/>
    <mergeCell ref="A146:I146"/>
    <mergeCell ref="A147:I147"/>
    <mergeCell ref="A148:I148"/>
    <mergeCell ref="A137:I137"/>
    <mergeCell ref="A138:I138"/>
    <mergeCell ref="A139:I139"/>
    <mergeCell ref="A140:I140"/>
    <mergeCell ref="A141:I141"/>
    <mergeCell ref="A142:I142"/>
    <mergeCell ref="A131:I131"/>
    <mergeCell ref="A132:I132"/>
    <mergeCell ref="A133:I133"/>
    <mergeCell ref="A134:I134"/>
    <mergeCell ref="A135:I135"/>
    <mergeCell ref="A136:I136"/>
    <mergeCell ref="A125:I125"/>
    <mergeCell ref="A126:I126"/>
    <mergeCell ref="A127:I127"/>
    <mergeCell ref="A128:I128"/>
    <mergeCell ref="A129:I129"/>
    <mergeCell ref="A130:I130"/>
    <mergeCell ref="A119:I119"/>
    <mergeCell ref="A120:I120"/>
    <mergeCell ref="A121:I121"/>
    <mergeCell ref="A122:I122"/>
    <mergeCell ref="A123:I123"/>
    <mergeCell ref="A124:I124"/>
    <mergeCell ref="A113:I113"/>
    <mergeCell ref="A114:I114"/>
    <mergeCell ref="A115:I115"/>
    <mergeCell ref="A116:I116"/>
    <mergeCell ref="A117:I117"/>
    <mergeCell ref="A118:I118"/>
    <mergeCell ref="A107:I107"/>
    <mergeCell ref="A108:I108"/>
    <mergeCell ref="A109:I109"/>
    <mergeCell ref="A110:I110"/>
    <mergeCell ref="A111:I111"/>
    <mergeCell ref="A112:I112"/>
    <mergeCell ref="A101:I101"/>
    <mergeCell ref="A102:I102"/>
    <mergeCell ref="A103:I103"/>
    <mergeCell ref="A104:I104"/>
    <mergeCell ref="A105:I105"/>
    <mergeCell ref="A106:I106"/>
    <mergeCell ref="A95:I95"/>
    <mergeCell ref="A96:I96"/>
    <mergeCell ref="A97:I97"/>
    <mergeCell ref="A98:I98"/>
    <mergeCell ref="A99:I99"/>
    <mergeCell ref="A100:I100"/>
    <mergeCell ref="A89:I89"/>
    <mergeCell ref="A90:I90"/>
    <mergeCell ref="A91:I91"/>
    <mergeCell ref="A92:I92"/>
    <mergeCell ref="A93:I93"/>
    <mergeCell ref="A94:I94"/>
    <mergeCell ref="A83:I83"/>
    <mergeCell ref="A84:I84"/>
    <mergeCell ref="A85:I85"/>
    <mergeCell ref="A86:I86"/>
    <mergeCell ref="A87:I87"/>
    <mergeCell ref="A88:I88"/>
    <mergeCell ref="A77:I77"/>
    <mergeCell ref="A78:I78"/>
    <mergeCell ref="A79:I79"/>
    <mergeCell ref="A80:I80"/>
    <mergeCell ref="A81:I81"/>
    <mergeCell ref="A82:I82"/>
    <mergeCell ref="A71:I71"/>
    <mergeCell ref="A72:I72"/>
    <mergeCell ref="A73:I73"/>
    <mergeCell ref="A74:I74"/>
    <mergeCell ref="A75:I75"/>
    <mergeCell ref="A76:I76"/>
    <mergeCell ref="A65:I65"/>
    <mergeCell ref="A66:I66"/>
    <mergeCell ref="A67:I67"/>
    <mergeCell ref="A68:I68"/>
    <mergeCell ref="A69:I69"/>
    <mergeCell ref="A70:I70"/>
    <mergeCell ref="A59:I59"/>
    <mergeCell ref="A60:I60"/>
    <mergeCell ref="A61:I61"/>
    <mergeCell ref="A62:I62"/>
    <mergeCell ref="A63:I63"/>
    <mergeCell ref="A64:I64"/>
    <mergeCell ref="A53:I53"/>
    <mergeCell ref="A54:I54"/>
    <mergeCell ref="A55:I55"/>
    <mergeCell ref="A56:I56"/>
    <mergeCell ref="A57:I57"/>
    <mergeCell ref="A58:I58"/>
    <mergeCell ref="A47:I47"/>
    <mergeCell ref="A48:I48"/>
    <mergeCell ref="A49:I49"/>
    <mergeCell ref="A50:I50"/>
    <mergeCell ref="A51:I51"/>
    <mergeCell ref="A52:I52"/>
    <mergeCell ref="A41:I41"/>
    <mergeCell ref="A42:I42"/>
    <mergeCell ref="A43:I43"/>
    <mergeCell ref="A44:I44"/>
    <mergeCell ref="A45:I45"/>
    <mergeCell ref="A46:I46"/>
    <mergeCell ref="A35:I35"/>
    <mergeCell ref="A36:I36"/>
    <mergeCell ref="A37:I37"/>
    <mergeCell ref="A38:I38"/>
    <mergeCell ref="A39:I39"/>
    <mergeCell ref="A40:I40"/>
    <mergeCell ref="A29:I29"/>
    <mergeCell ref="A30:I30"/>
    <mergeCell ref="A31:I31"/>
    <mergeCell ref="A32:I32"/>
    <mergeCell ref="A33:I33"/>
    <mergeCell ref="A34:I34"/>
    <mergeCell ref="F2:I5"/>
    <mergeCell ref="A16:I16"/>
    <mergeCell ref="A23:I23"/>
    <mergeCell ref="A24:I24"/>
    <mergeCell ref="A25:I25"/>
    <mergeCell ref="A26:I26"/>
    <mergeCell ref="A27:I27"/>
    <mergeCell ref="A28:I28"/>
    <mergeCell ref="A17:I17"/>
    <mergeCell ref="A18:I18"/>
    <mergeCell ref="A19:I19"/>
    <mergeCell ref="A20:I20"/>
    <mergeCell ref="A21:I21"/>
    <mergeCell ref="A22:I22"/>
  </mergeCells>
  <hyperlinks>
    <hyperlink ref="K3" location="TOELICHTING!A1" display="INHOUDSOPGAVE" xr:uid="{EE87D057-81A2-4009-B70F-89FF1FEAA990}"/>
  </hyperlinks>
  <pageMargins left="0.7" right="0.7" top="0.75" bottom="0.75" header="0.3" footer="0.3"/>
  <pageSetup paperSize="9"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3bf472f7-a010-4b5a-bb99-a26ed4c99680" ContentTypeId="0x01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F131342662EBFE45B0F1FC458B33B7A9" ma:contentTypeVersion="19" ma:contentTypeDescription="Create a new document." ma:contentTypeScope="" ma:versionID="2296526ed19a8761aad29957d10c21a1">
  <xsd:schema xmlns:xsd="http://www.w3.org/2001/XMLSchema" xmlns:xs="http://www.w3.org/2001/XMLSchema" xmlns:p="http://schemas.microsoft.com/office/2006/metadata/properties" xmlns:ns3="87037488-ec5d-4aba-84c2-9b1d22638e8e" xmlns:ns4="f8fbb464-bb69-4716-9fb0-6f62d4583a4f" xmlns:ns5="ea293381-1286-4a6b-9188-113502973581" targetNamespace="http://schemas.microsoft.com/office/2006/metadata/properties" ma:root="true" ma:fieldsID="485c616500fc8a86e950e27f59ee2f30" ns3:_="" ns4:_="" ns5:_="">
    <xsd:import namespace="87037488-ec5d-4aba-84c2-9b1d22638e8e"/>
    <xsd:import namespace="f8fbb464-bb69-4716-9fb0-6f62d4583a4f"/>
    <xsd:import namespace="ea293381-1286-4a6b-9188-113502973581"/>
    <xsd:element name="properties">
      <xsd:complexType>
        <xsd:sequence>
          <xsd:element name="documentManagement">
            <xsd:complexType>
              <xsd:all>
                <xsd:element ref="ns3:b1b820adfd3e4a078472514c1a5cb5ff" minOccurs="0"/>
                <xsd:element ref="ns3:TaxCatchAll" minOccurs="0"/>
                <xsd:element ref="ns3:TaxCatchAllLabel"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Location" minOccurs="0"/>
                <xsd:element ref="ns5:SharedWithUsers" minOccurs="0"/>
                <xsd:element ref="ns5:SharedWithDetails" minOccurs="0"/>
                <xsd:element ref="ns5:SharingHintHash" minOccurs="0"/>
                <xsd:element ref="ns4:MediaServiceAutoKeyPoints" minOccurs="0"/>
                <xsd:element ref="ns4:MediaServiceKeyPoints" minOccurs="0"/>
                <xsd:element ref="ns4:MediaServiceObjectDetectorVersions" minOccurs="0"/>
                <xsd:element ref="ns4:MediaServiceSystemTags" minOccurs="0"/>
                <xsd:element ref="ns4:_activity"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037488-ec5d-4aba-84c2-9b1d22638e8e" elementFormDefault="qualified">
    <xsd:import namespace="http://schemas.microsoft.com/office/2006/documentManagement/types"/>
    <xsd:import namespace="http://schemas.microsoft.com/office/infopath/2007/PartnerControls"/>
    <xsd:element name="b1b820adfd3e4a078472514c1a5cb5ff" ma:index="8" nillable="true" ma:taxonomy="true" ma:internalName="b1b820adfd3e4a078472514c1a5cb5ff" ma:taxonomyFieldName="Security_x0020_Classification" ma:displayName="Security Classification" ma:default="" ma:fieldId="{b1b820ad-fd3e-4a07-8472-514c1a5cb5ff}" ma:sspId="3bf472f7-a010-4b5a-bb99-a26ed4c99680" ma:termSetId="0c0ba91f-ee81-4a79-83f6-c19eebf2f16f" ma:anchorId="00000000-0000-0000-0000-000000000000" ma:open="false" ma:isKeyword="false">
      <xsd:complexType>
        <xsd:sequence>
          <xsd:element ref="pc:Terms" minOccurs="0" maxOccurs="1"/>
        </xsd:sequence>
      </xsd:complexType>
    </xsd:element>
    <xsd:element name="TaxCatchAll" ma:index="9" nillable="true" ma:displayName="Taxonomy Catch All Column" ma:description="" ma:hidden="true" ma:list="{a1f7c78b-6b1c-48d1-9802-b9510b2cc884}" ma:internalName="TaxCatchAll" ma:showField="CatchAllData" ma:web="ea293381-1286-4a6b-9188-113502973581">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description="" ma:hidden="true" ma:list="{a1f7c78b-6b1c-48d1-9802-b9510b2cc884}" ma:internalName="TaxCatchAllLabel" ma:readOnly="true" ma:showField="CatchAllDataLabel" ma:web="ea293381-1286-4a6b-9188-11350297358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8fbb464-bb69-4716-9fb0-6f62d4583a4f"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ystemTags" ma:index="26" nillable="true" ma:displayName="MediaServiceSystemTags" ma:hidden="true" ma:internalName="MediaServiceSystemTags" ma:readOnly="true">
      <xsd:simpleType>
        <xsd:restriction base="dms:Note"/>
      </xsd:simpleType>
    </xsd:element>
    <xsd:element name="_activity" ma:index="27" nillable="true" ma:displayName="_activity" ma:hidden="true" ma:internalName="_activity">
      <xsd:simpleType>
        <xsd:restriction base="dms:Note"/>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a293381-1286-4a6b-9188-113502973581"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SharingHintHash" ma:index="2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f8fbb464-bb69-4716-9fb0-6f62d4583a4f" xsi:nil="true"/>
    <b1b820adfd3e4a078472514c1a5cb5ff xmlns="87037488-ec5d-4aba-84c2-9b1d22638e8e">
      <Terms xmlns="http://schemas.microsoft.com/office/infopath/2007/PartnerControls"/>
    </b1b820adfd3e4a078472514c1a5cb5ff>
    <TaxCatchAll xmlns="87037488-ec5d-4aba-84c2-9b1d22638e8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4BD7DD-80BF-4D1A-B38D-D6326B86EB81}">
  <ds:schemaRefs>
    <ds:schemaRef ds:uri="Microsoft.SharePoint.Taxonomy.ContentTypeSync"/>
  </ds:schemaRefs>
</ds:datastoreItem>
</file>

<file path=customXml/itemProps2.xml><?xml version="1.0" encoding="utf-8"?>
<ds:datastoreItem xmlns:ds="http://schemas.openxmlformats.org/officeDocument/2006/customXml" ds:itemID="{4310582E-4248-45C6-8DB3-5C11BAC0B9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037488-ec5d-4aba-84c2-9b1d22638e8e"/>
    <ds:schemaRef ds:uri="f8fbb464-bb69-4716-9fb0-6f62d4583a4f"/>
    <ds:schemaRef ds:uri="ea293381-1286-4a6b-9188-11350297358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67B688B-B4AB-45EA-9A4B-64C82E2A821C}">
  <ds:schemaRefs>
    <ds:schemaRef ds:uri="f8fbb464-bb69-4716-9fb0-6f62d4583a4f"/>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87037488-ec5d-4aba-84c2-9b1d22638e8e"/>
    <ds:schemaRef ds:uri="ea293381-1286-4a6b-9188-113502973581"/>
    <ds:schemaRef ds:uri="http://www.w3.org/XML/1998/namespace"/>
    <ds:schemaRef ds:uri="http://purl.org/dc/dcmitype/"/>
  </ds:schemaRefs>
</ds:datastoreItem>
</file>

<file path=customXml/itemProps4.xml><?xml version="1.0" encoding="utf-8"?>
<ds:datastoreItem xmlns:ds="http://schemas.openxmlformats.org/officeDocument/2006/customXml" ds:itemID="{6DCA333E-62CD-43CD-8527-CC84B00BC5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8</vt:i4>
      </vt:variant>
      <vt:variant>
        <vt:lpstr>Benoemde bereiken</vt:lpstr>
      </vt:variant>
      <vt:variant>
        <vt:i4>7</vt:i4>
      </vt:variant>
    </vt:vector>
  </HeadingPairs>
  <TitlesOfParts>
    <vt:vector size="15" baseType="lpstr">
      <vt:lpstr>Inputblad</vt:lpstr>
      <vt:lpstr>TOELICHTING</vt:lpstr>
      <vt:lpstr>Gegevens</vt:lpstr>
      <vt:lpstr>Checklist Klantvragen</vt:lpstr>
      <vt:lpstr>Checklist Regelkast</vt:lpstr>
      <vt:lpstr>Checklist FM-kast</vt:lpstr>
      <vt:lpstr>Onderhoudsrapportage</vt:lpstr>
      <vt:lpstr>Notities en afbeeldingen</vt:lpstr>
      <vt:lpstr>Onderhoudsrapportage!_Hlk52777108</vt:lpstr>
      <vt:lpstr>'Checklist FM-kast'!_Toc137100756</vt:lpstr>
      <vt:lpstr>'Checklist Regelkast'!_Toc137100756</vt:lpstr>
      <vt:lpstr>'Checklist FM-kast'!Afdrukbereik</vt:lpstr>
      <vt:lpstr>'Checklist Regelkast'!Afdrukbereik</vt:lpstr>
      <vt:lpstr>Onderhoudsrapportage!Afdrukbereik</vt:lpstr>
      <vt:lpstr>Onderhoudsrapportage!Status_per_onderhoudscategorie</vt:lpstr>
    </vt:vector>
  </TitlesOfParts>
  <Company>EQUANS Nederland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Onderhoudsrapportage BA</dc:title>
  <dc:creator>KOENDERS Walter (EQUANS NL)</dc:creator>
  <cp:lastModifiedBy>EGGING Vincent (EQUANS NL)</cp:lastModifiedBy>
  <cp:lastPrinted>2024-05-31T12:21:42Z</cp:lastPrinted>
  <dcterms:created xsi:type="dcterms:W3CDTF">2023-10-19T07:28:53Z</dcterms:created>
  <dcterms:modified xsi:type="dcterms:W3CDTF">2025-06-10T14:30:32Z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2023-10-19T08:43:37Z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ebd1f185-ac39-4ddc-9ab3-ee0c6fd8b097</vt:lpwstr>
  </property>
  <property fmtid="{D5CDD505-2E9C-101B-9397-08002B2CF9AE}" pid="8" name="MSIP_Label_64a238cc-6af3-4341-9d32-201b7e04331f_ContentBits">
    <vt:lpwstr>0</vt:lpwstr>
  </property>
  <property fmtid="{D5CDD505-2E9C-101B-9397-08002B2CF9AE}" pid="9" name="ContentTypeId">
    <vt:lpwstr>0x010100F131342662EBFE45B0F1FC458B33B7A9</vt:lpwstr>
  </property>
</Properties>
</file>